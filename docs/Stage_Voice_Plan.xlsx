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orkstreams" sheetId="2" state="visible" r:id="rId4"/>
    <sheet name="Runtime" sheetId="3" state="visible" r:id="rId5"/>
    <sheet name="Phase Plan" sheetId="4" state="visible" r:id="rId6"/>
    <sheet name="Summary" sheetId="5" state="visible" r:id="rId7"/>
    <sheet name="Decision Ga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<sst xmlns="http://schemas.openxmlformats.org/spreadsheetml/2006/main" count="314" uniqueCount="255">
  <si>
    <t xml:space="preserve">Voice Stage — Assumptions</t>
  </si>
  <si>
    <t xml:space="preserve">Blue cells are inputs. Edit them to flex the model.</t>
  </si>
  <si>
    <t xml:space="preserve">Rates</t>
  </si>
  <si>
    <t xml:space="preserve">Founder review rate (USD/hr)</t>
  </si>
  <si>
    <t xml:space="preserve">USD/hr</t>
  </si>
  <si>
    <t xml:space="preserve">Your opportunity cost</t>
  </si>
  <si>
    <t xml:space="preserve">Mid-senior backend (MX, USD/hr)</t>
  </si>
  <si>
    <t xml:space="preserve">Reference; not used in this plan</t>
  </si>
  <si>
    <t xml:space="preserve">Mobile contractor (LATAM, USD/hr)</t>
  </si>
  <si>
    <t xml:space="preserve">Reference; used in optional 'human Phase 3' scenario</t>
  </si>
  <si>
    <t xml:space="preserve">Claude API — build</t>
  </si>
  <si>
    <t xml:space="preserve">Sonnet 4.6 input ($/1M tok)</t>
  </si>
  <si>
    <t xml:space="preserve">USD</t>
  </si>
  <si>
    <t xml:space="preserve">Sonnet 4.6 output ($/1M tok)</t>
  </si>
  <si>
    <t xml:space="preserve">Haiku 4.5 input ($/1M tok)</t>
  </si>
  <si>
    <t xml:space="preserve">Haiku 4.5 output ($/1M tok)</t>
  </si>
  <si>
    <t xml:space="preserve">Build tokens per Claude-hour (K)</t>
  </si>
  <si>
    <t xml:space="preserve">K tokens</t>
  </si>
  <si>
    <t xml:space="preserve">Agentic-coding throughput</t>
  </si>
  <si>
    <t xml:space="preserve">Build I/O split (input share)</t>
  </si>
  <si>
    <t xml:space="preserve">%</t>
  </si>
  <si>
    <t xml:space="preserve">Code reads vs writes</t>
  </si>
  <si>
    <t xml:space="preserve">Voice runtime — per active tester</t>
  </si>
  <si>
    <t xml:space="preserve">Active testers (count)</t>
  </si>
  <si>
    <t xml:space="preserve">count</t>
  </si>
  <si>
    <t xml:space="preserve">Mid of 5-10</t>
  </si>
  <si>
    <t xml:space="preserve">Voice minutes per tester per day</t>
  </si>
  <si>
    <t xml:space="preserve">min</t>
  </si>
  <si>
    <t xml:space="preserve">Real-world conversational use</t>
  </si>
  <si>
    <t xml:space="preserve">Active days per month</t>
  </si>
  <si>
    <t xml:space="preserve">days</t>
  </si>
  <si>
    <t xml:space="preserve">Working days actually using</t>
  </si>
  <si>
    <t xml:space="preserve">Avg Claude tokens per voice turn</t>
  </si>
  <si>
    <t xml:space="preserve">tokens</t>
  </si>
  <si>
    <t xml:space="preserve">Haiku-dominant</t>
  </si>
  <si>
    <t xml:space="preserve">Voice turns per minute</t>
  </si>
  <si>
    <t xml:space="preserve">User+agent speech, alternating</t>
  </si>
  <si>
    <t xml:space="preserve">Sonnet share of voice turns</t>
  </si>
  <si>
    <t xml:space="preserve">Escalations only</t>
  </si>
  <si>
    <t xml:space="preserve">Haiku share of voice turns</t>
  </si>
  <si>
    <t xml:space="preserve">Default tier</t>
  </si>
  <si>
    <t xml:space="preserve">Deepgram Nova-2 ($/min)</t>
  </si>
  <si>
    <t xml:space="preserve">USD/min</t>
  </si>
  <si>
    <t xml:space="preserve">es-MX streaming</t>
  </si>
  <si>
    <t xml:space="preserve">ElevenLabs Flash ($/1K chars)</t>
  </si>
  <si>
    <t xml:space="preserve">Multilingual es-MX</t>
  </si>
  <si>
    <t xml:space="preserve">Chars per voice reply</t>
  </si>
  <si>
    <t xml:space="preserve">Avg agent reply length spoken</t>
  </si>
  <si>
    <t xml:space="preserve">Cloud / SaaS (monthly)</t>
  </si>
  <si>
    <t xml:space="preserve">Fly.io (compute + Postgres + Redis)</t>
  </si>
  <si>
    <t xml:space="preserve">USD/mo</t>
  </si>
  <si>
    <t xml:space="preserve">Larger than MVP — voice gateway + websockets</t>
  </si>
  <si>
    <t xml:space="preserve">Domain + Cloudflare</t>
  </si>
  <si>
    <t xml:space="preserve">Auth0 (B2C essentials)</t>
  </si>
  <si>
    <t xml:space="preserve">Phone OTP needs paid plan above free</t>
  </si>
  <si>
    <t xml:space="preserve">Langfuse self-hosted on Fly</t>
  </si>
  <si>
    <t xml:space="preserve">Slightly bigger VM</t>
  </si>
  <si>
    <t xml:space="preserve">Sentry team plan</t>
  </si>
  <si>
    <t xml:space="preserve">Mobile crash reporting included</t>
  </si>
  <si>
    <t xml:space="preserve">WhatsApp Cloud (first 1K conv free)</t>
  </si>
  <si>
    <t xml:space="preserve">Then $0.005-0.02/conv</t>
  </si>
  <si>
    <t xml:space="preserve">Twilio SMS fallback</t>
  </si>
  <si>
    <t xml:space="preserve">MX A2P</t>
  </si>
  <si>
    <t xml:space="preserve">S3/Tigris audit (WORM)</t>
  </si>
  <si>
    <t xml:space="preserve">7-year retention starts small</t>
  </si>
  <si>
    <t xml:space="preserve">Mobile EAS Build (Expo)</t>
  </si>
  <si>
    <t xml:space="preserve">Hobby plan covers TestFlight builds</t>
  </si>
  <si>
    <t xml:space="preserve">Apple Developer Program (amortized)</t>
  </si>
  <si>
    <t xml:space="preserve">$99/yr ÷ 12</t>
  </si>
  <si>
    <t xml:space="preserve">Google Play Console (amortized)</t>
  </si>
  <si>
    <t xml:space="preserve">$25 one-time, amortized</t>
  </si>
  <si>
    <t xml:space="preserve">Buffers</t>
  </si>
  <si>
    <t xml:space="preserve">Engineering buffer %</t>
  </si>
  <si>
    <t xml:space="preserve">+20% on top of estimates</t>
  </si>
  <si>
    <t xml:space="preserve">API spend buffer %</t>
  </si>
  <si>
    <t xml:space="preserve">+50% on top of token estimates</t>
  </si>
  <si>
    <t xml:space="preserve">Workstreams — Build Cost per Item</t>
  </si>
  <si>
    <t xml:space="preserve">Phase-grouped. Claude does the engineering; you review and integrate.</t>
  </si>
  <si>
    <t xml:space="preserve">Phase</t>
  </si>
  <si>
    <t xml:space="preserve">Workstream</t>
  </si>
  <si>
    <t xml:space="preserve">Pri</t>
  </si>
  <si>
    <t xml:space="preserve">Claude h</t>
  </si>
  <si>
    <t xml:space="preserve">Founder h</t>
  </si>
  <si>
    <t xml:space="preserve">API cost</t>
  </si>
  <si>
    <t xml:space="preserve">Founder cost</t>
  </si>
  <si>
    <t xml:space="preserve">Total</t>
  </si>
  <si>
    <t xml:space="preserve">Notes</t>
  </si>
  <si>
    <t xml:space="preserve">Repo bootstrap, CI, secrets, Fly account, domain</t>
  </si>
  <si>
    <t xml:space="preserve">MUST</t>
  </si>
  <si>
    <t xml:space="preserve">GitHub repo, EAS workspace, fly orgs, Cloudflare zone, DNS.</t>
  </si>
  <si>
    <t xml:space="preserve">Port domain services (listings/matching/scheduling/documents/payments/comms)</t>
  </si>
  <si>
    <t xml:space="preserve">Mostly verbatim from MVP; lift SQLite→Postgres+pgvector for listings.</t>
  </si>
  <si>
    <t xml:space="preserve">Postgres + Redis on Fly with managed connection pooling</t>
  </si>
  <si>
    <t xml:space="preserve">pgvector enabled, prisma-style migrations checked into repo.</t>
  </si>
  <si>
    <t xml:space="preserve">Orchestrator → Claude Agent SDK harness (realestate + locator + audit)</t>
  </si>
  <si>
    <t xml:space="preserve">The core SDK migration. Carries the 161 assertions as the contract.</t>
  </si>
  <si>
    <t xml:space="preserve">Hooks: pii_redaction, spend_caps, audit_log, trace_emit</t>
  </si>
  <si>
    <t xml:space="preserve">Presidio + es-MX NER; per-tenant per-day caps; WORM audit emit.</t>
  </si>
  <si>
    <t xml:space="preserve">Streaming endpoint /agent/run/stream (SSE)</t>
  </si>
  <si>
    <t xml:space="preserve">Token-level events compatible with voice gateway.</t>
  </si>
  <si>
    <t xml:space="preserve">Adapt 161 assertions to SDK behavior contract</t>
  </si>
  <si>
    <t xml:space="preserve">Preserve every existing test; add streaming + hook tests.</t>
  </si>
  <si>
    <t xml:space="preserve">voice-gateway scaffold (FastAPI + WebSocket)</t>
  </si>
  <si>
    <t xml:space="preserve">Accept/return bidirectional audio + control JSON.</t>
  </si>
  <si>
    <t xml:space="preserve">Deepgram Nova-2 es-MX streaming adapter</t>
  </si>
  <si>
    <t xml:space="preserve">WS client; partial→final reroute; VAD-based end-of-speech.</t>
  </si>
  <si>
    <t xml:space="preserve">ElevenLabs Flash streaming TTS adapter</t>
  </si>
  <si>
    <t xml:space="preserve">TTS-friendly phrase chunking; pause for tool calls.</t>
  </si>
  <si>
    <t xml:space="preserve">Pipeline orchestrator (STT→agent→TTS bridge)</t>
  </si>
  <si>
    <t xml:space="preserve">Latency budget enforcement; backpressure handling.</t>
  </si>
  <si>
    <t xml:space="preserve">Barge-in + cancel + WS reconnect logic</t>
  </si>
  <si>
    <t xml:space="preserve">SHOULD</t>
  </si>
  <si>
    <t xml:space="preserve">VAD on inbound mic while TTS playing; &lt;200ms cancel.</t>
  </si>
  <si>
    <t xml:space="preserve">Latency benchmarks + load tests</t>
  </si>
  <si>
    <t xml:space="preserve">k6 or locust; record P50/P95 against orchestrator.</t>
  </si>
  <si>
    <t xml:space="preserve">RN + Expo app scaffold, navigation, theme, i18n (es-MX)</t>
  </si>
  <si>
    <t xml:space="preserve">expo-router, Zustand, react-i18next.</t>
  </si>
  <si>
    <t xml:space="preserve">Voice components: MicButton, waveform, audio capture/playback</t>
  </si>
  <si>
    <t xml:space="preserve">expo-av + custom Audio classes; haptic feedback.</t>
  </si>
  <si>
    <t xml:space="preserve">VoiceClient (WS bridge) + reconnect + auth attach</t>
  </si>
  <si>
    <t xml:space="preserve">Token attached to handshake; resumes within 1s on drop.</t>
  </si>
  <si>
    <t xml:space="preserve">Card components: ListingCard, SlotCard, AuditCard, AgentChips</t>
  </si>
  <si>
    <t xml:space="preserve">Visual feed below the mic; tap focuses next turn.</t>
  </si>
  <si>
    <t xml:space="preserve">Screens: Onboarding, Home, ListingDetail, VisitSchedule, AuditView</t>
  </si>
  <si>
    <t xml:space="preserve">Minimum viable screen set per Phase 3.</t>
  </si>
  <si>
    <t xml:space="preserve">SessionTrace screen (in-app /agents.html equivalent)</t>
  </si>
  <si>
    <t xml:space="preserve">LFPDPPP-visible decision log; shareable for support.</t>
  </si>
  <si>
    <t xml:space="preserve">iOS build to TestFlight + Android internal track</t>
  </si>
  <si>
    <t xml:space="preserve">EAS profiles; first device install; review pre-checks.</t>
  </si>
  <si>
    <t xml:space="preserve">identity service (Auth0 phone OTP + tenant + user model)</t>
  </si>
  <si>
    <t xml:space="preserve">Phone OTP for buyers, magic link for realtors/owners.</t>
  </si>
  <si>
    <t xml:space="preserve">LFPDPPP consent flow + Aviso de Privacidad</t>
  </si>
  <si>
    <t xml:space="preserve">Voice-accept option; consent record + audit-logged.</t>
  </si>
  <si>
    <t xml:space="preserve">DSAR endpoint (data export within 20 business days)</t>
  </si>
  <si>
    <t xml:space="preserve">/api/identity/dsar/export; ZIP of all the user's data.</t>
  </si>
  <si>
    <t xml:space="preserve">Real WhatsApp Cloud API + template registration</t>
  </si>
  <si>
    <t xml:space="preserve">Template approval flow; opt-in; 24h window; SMS fallback.</t>
  </si>
  <si>
    <t xml:space="preserve">S3/Tigris WORM audit chain + LFPIORPI report job</t>
  </si>
  <si>
    <t xml:space="preserve">Hash-chained append-only; monthly UIF report generator.</t>
  </si>
  <si>
    <t xml:space="preserve">Sentry + Langfuse live for backend + mobile</t>
  </si>
  <si>
    <t xml:space="preserve">Crash reports + AI traces before first tester logs in.</t>
  </si>
  <si>
    <t xml:space="preserve">Tester onboarding pack + invite codes + welcome flow</t>
  </si>
  <si>
    <t xml:space="preserve">8-page PDF in es-MX; NDA; support contact; tutorial.</t>
  </si>
  <si>
    <t xml:space="preserve">3 internal testers full flow over 48h + bug bash</t>
  </si>
  <si>
    <t xml:space="preserve">Real devices, real LTE in CDMX; document P0/P1/P2.</t>
  </si>
  <si>
    <t xml:space="preserve">TOTAL</t>
  </si>
  <si>
    <t xml:space="preserve">Phase 1</t>
  </si>
  <si>
    <t xml:space="preserve">Phase 2</t>
  </si>
  <si>
    <t xml:space="preserve">Phase 3</t>
  </si>
  <si>
    <t xml:space="preserve">Phase 4</t>
  </si>
  <si>
    <t xml:space="preserve">Runtime — Monthly Cost During Testing</t>
  </si>
  <si>
    <t xml:space="preserve">Formula-driven from Assumptions.</t>
  </si>
  <si>
    <t xml:space="preserve">Item</t>
  </si>
  <si>
    <t xml:space="preserve">USD / mo</t>
  </si>
  <si>
    <t xml:space="preserve">Voice volume metrics</t>
  </si>
  <si>
    <t xml:space="preserve">Voice minutes per month</t>
  </si>
  <si>
    <t xml:space="preserve">testers × min/d × days/mo</t>
  </si>
  <si>
    <t xml:space="preserve">Voice turns per month</t>
  </si>
  <si>
    <t xml:space="preserve">Spoken reply characters per month</t>
  </si>
  <si>
    <t xml:space="preserve">AI tokens (Claude)</t>
  </si>
  <si>
    <t xml:space="preserve">Sonnet $ (60% in / 40% out)</t>
  </si>
  <si>
    <t xml:space="preserve">Haiku $ (60% in / 40% out)</t>
  </si>
  <si>
    <t xml:space="preserve">Voice STT / TTS</t>
  </si>
  <si>
    <t xml:space="preserve">Deepgram STT (Nova-2 es-MX)</t>
  </si>
  <si>
    <t xml:space="preserve">ElevenLabs Flash TTS (es-MX)</t>
  </si>
  <si>
    <t xml:space="preserve">AI + Voice subtotal</t>
  </si>
  <si>
    <t xml:space="preserve">Cloud + SaaS</t>
  </si>
  <si>
    <t xml:space="preserve">Fly.io</t>
  </si>
  <si>
    <t xml:space="preserve">Auth0</t>
  </si>
  <si>
    <t xml:space="preserve">Langfuse</t>
  </si>
  <si>
    <t xml:space="preserve">Sentry</t>
  </si>
  <si>
    <t xml:space="preserve">WhatsApp Cloud</t>
  </si>
  <si>
    <t xml:space="preserve">Twilio SMS</t>
  </si>
  <si>
    <t xml:space="preserve">S3/Tigris WORM</t>
  </si>
  <si>
    <t xml:space="preserve">Expo EAS Build</t>
  </si>
  <si>
    <t xml:space="preserve">Apple Developer (amort)</t>
  </si>
  <si>
    <t xml:space="preserve">Google Play (amort)</t>
  </si>
  <si>
    <t xml:space="preserve">Cloud + SaaS subtotal</t>
  </si>
  <si>
    <t xml:space="preserve">TOTAL monthly burn while testing</t>
  </si>
  <si>
    <t xml:space="preserve">Per-tester per-month</t>
  </si>
  <si>
    <t xml:space="preserve">Variable AI + voice per tester</t>
  </si>
  <si>
    <t xml:space="preserve">8-Week Phase Plan</t>
  </si>
  <si>
    <t xml:space="preserve">Costs roll up from Workstreams via SUMIF on phase number.</t>
  </si>
  <si>
    <t xml:space="preserve">Weeks</t>
  </si>
  <si>
    <t xml:space="preserve">Theme</t>
  </si>
  <si>
    <t xml:space="preserve">Cost</t>
  </si>
  <si>
    <t xml:space="preserve">Exit criteria</t>
  </si>
  <si>
    <t xml:space="preserve">1-2</t>
  </si>
  <si>
    <t xml:space="preserve">Backend on the SDK harness</t>
  </si>
  <si>
    <t xml:space="preserve">Services on Fly; orchestrator on Claude Agent SDK; 161+ tests green; SSE stream live.</t>
  </si>
  <si>
    <t xml:space="preserve">3-4</t>
  </si>
  <si>
    <t xml:space="preserve">Voice gateway service</t>
  </si>
  <si>
    <t xml:space="preserve">WS audio in/out; Deepgram+ElevenLabs; P50 latency ≤ 1.5s; barge-in works.</t>
  </si>
  <si>
    <t xml:space="preserve">5-6</t>
  </si>
  <si>
    <t xml:space="preserve">Mobile app skeleton (RN + Expo)</t>
  </si>
  <si>
    <t xml:space="preserve">iOS + Android builds; mic + speaker; PTT UX; cards render; E2E flow on real device.</t>
  </si>
  <si>
    <t xml:space="preserve">7-8</t>
  </si>
  <si>
    <t xml:space="preserve">Identity + compliance + tester onboarding</t>
  </si>
  <si>
    <t xml:space="preserve">Phone OTP; LFPDPPP consent; DSAR; WA Cloud; audit trail; 3 testers signed off.</t>
  </si>
  <si>
    <t xml:space="preserve">1-8</t>
  </si>
  <si>
    <t xml:space="preserve">Stage + testers</t>
  </si>
  <si>
    <t xml:space="preserve">Ready for external testers</t>
  </si>
  <si>
    <t xml:space="preserve">Voice Stage — Cost Summary</t>
  </si>
  <si>
    <t xml:space="preserve">All numbers are formulas. Edit Assumptions to flex.</t>
  </si>
  <si>
    <t xml:space="preserve">Value</t>
  </si>
  <si>
    <t xml:space="preserve">Build (Claude does engineering, you review)</t>
  </si>
  <si>
    <t xml:space="preserve">Claude hours total</t>
  </si>
  <si>
    <t xml:space="preserve">API spend (Sonnet-priced)</t>
  </si>
  <si>
    <t xml:space="preserve">Your review + integration cost</t>
  </si>
  <si>
    <t xml:space="preserve">Build TOTAL one-time</t>
  </si>
  <si>
    <t xml:space="preserve">Runtime while testing</t>
  </si>
  <si>
    <t xml:space="preserve">Monthly burn</t>
  </si>
  <si>
    <t xml:space="preserve">All-in</t>
  </si>
  <si>
    <t xml:space="preserve">3-month testing window</t>
  </si>
  <si>
    <t xml:space="preserve">Build + 3 months</t>
  </si>
  <si>
    <t xml:space="preserve">Reference — same scope with humans (no Claude)</t>
  </si>
  <si>
    <t xml:space="preserve">If MX backend engineer does the work</t>
  </si>
  <si>
    <t xml:space="preserve">Reference: in-house cost only</t>
  </si>
  <si>
    <t xml:space="preserve">If mobile contractor does Phase 3 only</t>
  </si>
  <si>
    <t xml:space="preserve">Reference: hire a RN contractor for the app work</t>
  </si>
  <si>
    <t xml:space="preserve">Savings — Claude path vs MX engineer</t>
  </si>
  <si>
    <t xml:space="preserve">Per-tester economics</t>
  </si>
  <si>
    <t xml:space="preserve">AI + voice variable cost / tester / month</t>
  </si>
  <si>
    <t xml:space="preserve">Token + STT + TTS only</t>
  </si>
  <si>
    <t xml:space="preserve">All-in cost / tester / month (incl. cloud + SaaS)</t>
  </si>
  <si>
    <t xml:space="preserve">What it costs to keep one tester active</t>
  </si>
  <si>
    <t xml:space="preserve">Decision Gates — Pre-committed Go/No-Go</t>
  </si>
  <si>
    <t xml:space="preserve">Use these instead of arguing in the moment.</t>
  </si>
  <si>
    <t xml:space="preserve">When</t>
  </si>
  <si>
    <t xml:space="preserve">Decision</t>
  </si>
  <si>
    <t xml:space="preserve">If no — what to cut</t>
  </si>
  <si>
    <t xml:space="preserve">End of Week 1</t>
  </si>
  <si>
    <t xml:space="preserve">SDK harness passing ported 161 tests?</t>
  </si>
  <si>
    <t xml:space="preserve">Slip Week 2; don't start streaming on red tests.</t>
  </si>
  <si>
    <t xml:space="preserve">End of Week 2</t>
  </si>
  <si>
    <t xml:space="preserve">Streaming endpoint emitting hooks correctly?</t>
  </si>
  <si>
    <t xml:space="preserve">Defer barge-in to Week 4; keep voice simpler.</t>
  </si>
  <si>
    <t xml:space="preserve">End of Week 3</t>
  </si>
  <si>
    <t xml:space="preserve">Deepgram + ElevenLabs latency ≤ 1.5s locally?</t>
  </si>
  <si>
    <t xml:space="preserve">Downgrade to Cartesia TTS; accept higher latency for first wave.</t>
  </si>
  <si>
    <t xml:space="preserve">End of Week 4</t>
  </si>
  <si>
    <t xml:space="preserve">Voice gateway stable under barge-in + reconnect?</t>
  </si>
  <si>
    <t xml:space="preserve">Ship without barge-in; testers will tolerate; fix in Week 7 slack.</t>
  </si>
  <si>
    <t xml:space="preserve">End of Week 5</t>
  </si>
  <si>
    <t xml:space="preserve">iOS build on real device with audio working?</t>
  </si>
  <si>
    <t xml:space="preserve">Deprioritize Android; ship iOS-first to smaller cohort.</t>
  </si>
  <si>
    <t xml:space="preserve">End of Week 6</t>
  </si>
  <si>
    <t xml:space="preserve">E2E voice flow hits 1.5s P50 on real LTE?</t>
  </si>
  <si>
    <t xml:space="preserve">If 1.8-2.0s, ship; if &gt;2.5s, MX-region edge or Haiku-only routing.</t>
  </si>
  <si>
    <t xml:space="preserve">End of Week 7</t>
  </si>
  <si>
    <t xml:space="preserve">LFPDPPP review clean, Auth0 sufficient?</t>
  </si>
  <si>
    <t xml:space="preserve">Swap Auth0→Cognito (1-day pivot); defer LFPDPPP polish 3 days.</t>
  </si>
  <si>
    <t xml:space="preserve">Mid Week 8</t>
  </si>
  <si>
    <t xml:space="preserve">Three internal testers comfortable?</t>
  </si>
  <si>
    <t xml:space="preserve">Delay external testers 1 week; better than poisoning first impression.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</si>
</sst>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0"/>
    <numFmt numFmtId="167" formatCode="\$0.0000"/>
    <numFmt numFmtId="168" formatCode="#,##0"/>
    <numFmt numFmtId="169" formatCode="0.0%"/>
    <numFmt numFmtId="170" formatCode="0"/>
    <numFmt numFmtId="171" formatCode="0.0"/>
    <numFmt numFmtId="172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761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b val="true"/>
      <sz val="12"/>
      <color rgb="FF1E2761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11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EF2FF"/>
        <bgColor rgb="FFF3E8FF"/>
      </patternFill>
    </fill>
    <fill>
      <patternFill patternType="solid">
        <fgColor rgb="FF1E2761"/>
        <bgColor rgb="FF333333"/>
      </patternFill>
    </fill>
    <fill>
      <patternFill patternType="solid">
        <fgColor rgb="FFF96167"/>
        <bgColor rgb="FFFF6600"/>
      </patternFill>
    </fill>
    <fill>
      <patternFill patternType="solid">
        <fgColor rgb="FFF9E795"/>
        <bgColor rgb="FFFFCC99"/>
      </patternFill>
    </fill>
    <fill>
      <patternFill patternType="solid">
        <fgColor rgb="FF6366F1"/>
        <bgColor rgb="FF808080"/>
      </patternFill>
    </fill>
    <fill>
      <patternFill patternType="solid">
        <fgColor rgb="FFF59E0B"/>
        <bgColor rgb="FFFFCC00"/>
      </patternFill>
    </fill>
    <fill>
      <patternFill patternType="solid">
        <fgColor rgb="FF10B981"/>
        <bgColor rgb="FF33CCCC"/>
      </patternFill>
    </fill>
    <fill>
      <patternFill patternType="solid">
        <fgColor rgb="FFECFDF5"/>
        <bgColor rgb="FFEEF2FF"/>
      </patternFill>
    </fill>
    <fill>
      <patternFill patternType="solid">
        <fgColor rgb="FFF3E8FF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DF5"/>
      <rgbColor rgb="FFEEF2FF"/>
      <rgbColor rgb="FF660066"/>
      <rgbColor rgb="FFF96167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8FF"/>
      <rgbColor rgb="FFCCFFCC"/>
      <rgbColor rgb="FFF9E795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59E0B"/>
      <rgbColor rgb="FFFF6600"/>
      <rgbColor rgb="FF475569"/>
      <rgbColor rgb="FF969696"/>
      <rgbColor rgb="FF1E2761"/>
      <rgbColor rgb="FF10B98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50</v>
      </c>
      <c r="C5" s="6" t="s">
        <v>4</v>
      </c>
      <c r="D5" s="6" t="s">
        <v>5</v>
      </c>
    </row>
    <row r="6" customFormat="false" ht="15" hidden="false" customHeight="false" outlineLevel="0" collapsed="false">
      <c r="A6" s="4" t="s">
        <v>6</v>
      </c>
      <c r="B6" s="5" t="n">
        <v>30</v>
      </c>
      <c r="C6" s="6" t="s">
        <v>4</v>
      </c>
      <c r="D6" s="6" t="s">
        <v>7</v>
      </c>
    </row>
    <row r="7" customFormat="false" ht="15" hidden="false" customHeight="false" outlineLevel="0" collapsed="false">
      <c r="A7" s="4" t="s">
        <v>8</v>
      </c>
      <c r="B7" s="5" t="n">
        <v>90</v>
      </c>
      <c r="C7" s="6" t="s">
        <v>4</v>
      </c>
      <c r="D7" s="6" t="s">
        <v>9</v>
      </c>
    </row>
    <row r="8" customFormat="false" ht="15" hidden="false" customHeight="false" outlineLevel="0" collapsed="false">
      <c r="A8" s="3" t="s">
        <v>10</v>
      </c>
      <c r="B8" s="3"/>
      <c r="C8" s="3"/>
      <c r="D8" s="3"/>
    </row>
    <row r="9" customFormat="false" ht="15" hidden="false" customHeight="false" outlineLevel="0" collapsed="false">
      <c r="A9" s="4" t="s">
        <v>11</v>
      </c>
      <c r="B9" s="7" t="n">
        <v>3</v>
      </c>
      <c r="C9" s="6" t="s">
        <v>12</v>
      </c>
      <c r="D9" s="6"/>
    </row>
    <row r="10" customFormat="false" ht="15" hidden="false" customHeight="false" outlineLevel="0" collapsed="false">
      <c r="A10" s="4" t="s">
        <v>13</v>
      </c>
      <c r="B10" s="7" t="n">
        <v>15</v>
      </c>
      <c r="C10" s="6" t="s">
        <v>12</v>
      </c>
      <c r="D10" s="6"/>
    </row>
    <row r="11" customFormat="false" ht="15" hidden="false" customHeight="false" outlineLevel="0" collapsed="false">
      <c r="A11" s="4" t="s">
        <v>14</v>
      </c>
      <c r="B11" s="8" t="n">
        <v>0.8</v>
      </c>
      <c r="C11" s="6" t="s">
        <v>12</v>
      </c>
      <c r="D11" s="6"/>
    </row>
    <row r="12" customFormat="false" ht="15" hidden="false" customHeight="false" outlineLevel="0" collapsed="false">
      <c r="A12" s="4" t="s">
        <v>15</v>
      </c>
      <c r="B12" s="7" t="n">
        <v>4</v>
      </c>
      <c r="C12" s="6" t="s">
        <v>12</v>
      </c>
      <c r="D12" s="6"/>
    </row>
    <row r="13" customFormat="false" ht="15" hidden="false" customHeight="false" outlineLevel="0" collapsed="false">
      <c r="A13" s="4" t="s">
        <v>16</v>
      </c>
      <c r="B13" s="9" t="n">
        <v>25</v>
      </c>
      <c r="C13" s="6" t="s">
        <v>17</v>
      </c>
      <c r="D13" s="6" t="s">
        <v>18</v>
      </c>
    </row>
    <row r="14" customFormat="false" ht="15" hidden="false" customHeight="false" outlineLevel="0" collapsed="false">
      <c r="A14" s="4" t="s">
        <v>19</v>
      </c>
      <c r="B14" s="10" t="n">
        <v>0.7</v>
      </c>
      <c r="C14" s="6" t="s">
        <v>20</v>
      </c>
      <c r="D14" s="6" t="s">
        <v>21</v>
      </c>
    </row>
    <row r="15" customFormat="false" ht="15" hidden="false" customHeight="false" outlineLevel="0" collapsed="false">
      <c r="A15" s="3" t="s">
        <v>22</v>
      </c>
      <c r="B15" s="3"/>
      <c r="C15" s="3"/>
      <c r="D15" s="3"/>
    </row>
    <row r="16" customFormat="false" ht="15" hidden="false" customHeight="false" outlineLevel="0" collapsed="false">
      <c r="A16" s="4" t="s">
        <v>23</v>
      </c>
      <c r="B16" s="9" t="n">
        <v>8</v>
      </c>
      <c r="C16" s="6" t="s">
        <v>24</v>
      </c>
      <c r="D16" s="6" t="s">
        <v>25</v>
      </c>
    </row>
    <row r="17" customFormat="false" ht="15" hidden="false" customHeight="false" outlineLevel="0" collapsed="false">
      <c r="A17" s="4" t="s">
        <v>26</v>
      </c>
      <c r="B17" s="9" t="n">
        <v>6</v>
      </c>
      <c r="C17" s="6" t="s">
        <v>27</v>
      </c>
      <c r="D17" s="6" t="s">
        <v>28</v>
      </c>
    </row>
    <row r="18" customFormat="false" ht="15" hidden="false" customHeight="false" outlineLevel="0" collapsed="false">
      <c r="A18" s="4" t="s">
        <v>29</v>
      </c>
      <c r="B18" s="9" t="n">
        <v>16</v>
      </c>
      <c r="C18" s="6" t="s">
        <v>30</v>
      </c>
      <c r="D18" s="6" t="s">
        <v>31</v>
      </c>
    </row>
    <row r="19" customFormat="false" ht="15" hidden="false" customHeight="false" outlineLevel="0" collapsed="false">
      <c r="A19" s="4" t="s">
        <v>32</v>
      </c>
      <c r="B19" s="9" t="n">
        <v>1800</v>
      </c>
      <c r="C19" s="6" t="s">
        <v>33</v>
      </c>
      <c r="D19" s="6" t="s">
        <v>34</v>
      </c>
    </row>
    <row r="20" customFormat="false" ht="15" hidden="false" customHeight="false" outlineLevel="0" collapsed="false">
      <c r="A20" s="4" t="s">
        <v>35</v>
      </c>
      <c r="B20" s="9" t="n">
        <v>1.4</v>
      </c>
      <c r="C20" s="6" t="s">
        <v>24</v>
      </c>
      <c r="D20" s="6" t="s">
        <v>36</v>
      </c>
    </row>
    <row r="21" customFormat="false" ht="15" hidden="false" customHeight="false" outlineLevel="0" collapsed="false">
      <c r="A21" s="4" t="s">
        <v>37</v>
      </c>
      <c r="B21" s="10" t="n">
        <v>0.1</v>
      </c>
      <c r="C21" s="6" t="s">
        <v>20</v>
      </c>
      <c r="D21" s="6" t="s">
        <v>38</v>
      </c>
    </row>
    <row r="22" customFormat="false" ht="15" hidden="false" customHeight="false" outlineLevel="0" collapsed="false">
      <c r="A22" s="4" t="s">
        <v>39</v>
      </c>
      <c r="B22" s="10" t="n">
        <v>0.9</v>
      </c>
      <c r="C22" s="6" t="s">
        <v>20</v>
      </c>
      <c r="D22" s="6" t="s">
        <v>40</v>
      </c>
    </row>
    <row r="23" customFormat="false" ht="15" hidden="false" customHeight="false" outlineLevel="0" collapsed="false">
      <c r="A23" s="4" t="s">
        <v>41</v>
      </c>
      <c r="B23" s="8" t="n">
        <v>0.0043</v>
      </c>
      <c r="C23" s="6" t="s">
        <v>42</v>
      </c>
      <c r="D23" s="6" t="s">
        <v>43</v>
      </c>
    </row>
    <row r="24" customFormat="false" ht="15" hidden="false" customHeight="false" outlineLevel="0" collapsed="false">
      <c r="A24" s="4" t="s">
        <v>44</v>
      </c>
      <c r="B24" s="8" t="n">
        <v>0.3</v>
      </c>
      <c r="C24" s="6" t="s">
        <v>12</v>
      </c>
      <c r="D24" s="6" t="s">
        <v>45</v>
      </c>
    </row>
    <row r="25" customFormat="false" ht="15" hidden="false" customHeight="false" outlineLevel="0" collapsed="false">
      <c r="A25" s="4" t="s">
        <v>46</v>
      </c>
      <c r="B25" s="9" t="n">
        <v>220</v>
      </c>
      <c r="C25" s="6" t="s">
        <v>24</v>
      </c>
      <c r="D25" s="6" t="s">
        <v>47</v>
      </c>
    </row>
    <row r="26" customFormat="false" ht="15" hidden="false" customHeight="false" outlineLevel="0" collapsed="false">
      <c r="A26" s="3" t="s">
        <v>48</v>
      </c>
      <c r="B26" s="3"/>
      <c r="C26" s="3"/>
      <c r="D26" s="3"/>
    </row>
    <row r="27" customFormat="false" ht="15" hidden="false" customHeight="false" outlineLevel="0" collapsed="false">
      <c r="A27" s="4" t="s">
        <v>49</v>
      </c>
      <c r="B27" s="5" t="n">
        <v>130</v>
      </c>
      <c r="C27" s="6" t="s">
        <v>50</v>
      </c>
      <c r="D27" s="6" t="s">
        <v>51</v>
      </c>
    </row>
    <row r="28" customFormat="false" ht="15" hidden="false" customHeight="false" outlineLevel="0" collapsed="false">
      <c r="A28" s="4" t="s">
        <v>52</v>
      </c>
      <c r="B28" s="5" t="n">
        <v>2</v>
      </c>
      <c r="C28" s="6" t="s">
        <v>50</v>
      </c>
      <c r="D28" s="6"/>
    </row>
    <row r="29" customFormat="false" ht="15" hidden="false" customHeight="false" outlineLevel="0" collapsed="false">
      <c r="A29" s="4" t="s">
        <v>53</v>
      </c>
      <c r="B29" s="5" t="n">
        <v>25</v>
      </c>
      <c r="C29" s="6" t="s">
        <v>50</v>
      </c>
      <c r="D29" s="6" t="s">
        <v>54</v>
      </c>
    </row>
    <row r="30" customFormat="false" ht="15" hidden="false" customHeight="false" outlineLevel="0" collapsed="false">
      <c r="A30" s="4" t="s">
        <v>55</v>
      </c>
      <c r="B30" s="5" t="n">
        <v>25</v>
      </c>
      <c r="C30" s="6" t="s">
        <v>50</v>
      </c>
      <c r="D30" s="6" t="s">
        <v>56</v>
      </c>
    </row>
    <row r="31" customFormat="false" ht="15" hidden="false" customHeight="false" outlineLevel="0" collapsed="false">
      <c r="A31" s="4" t="s">
        <v>57</v>
      </c>
      <c r="B31" s="5" t="n">
        <v>25</v>
      </c>
      <c r="C31" s="6" t="s">
        <v>50</v>
      </c>
      <c r="D31" s="6" t="s">
        <v>58</v>
      </c>
    </row>
    <row r="32" customFormat="false" ht="15" hidden="false" customHeight="false" outlineLevel="0" collapsed="false">
      <c r="A32" s="4" t="s">
        <v>59</v>
      </c>
      <c r="B32" s="5" t="n">
        <v>0</v>
      </c>
      <c r="C32" s="6" t="s">
        <v>50</v>
      </c>
      <c r="D32" s="6" t="s">
        <v>60</v>
      </c>
    </row>
    <row r="33" customFormat="false" ht="15" hidden="false" customHeight="false" outlineLevel="0" collapsed="false">
      <c r="A33" s="4" t="s">
        <v>61</v>
      </c>
      <c r="B33" s="5" t="n">
        <v>25</v>
      </c>
      <c r="C33" s="6" t="s">
        <v>50</v>
      </c>
      <c r="D33" s="6" t="s">
        <v>62</v>
      </c>
    </row>
    <row r="34" customFormat="false" ht="15" hidden="false" customHeight="false" outlineLevel="0" collapsed="false">
      <c r="A34" s="4" t="s">
        <v>63</v>
      </c>
      <c r="B34" s="5" t="n">
        <v>8</v>
      </c>
      <c r="C34" s="6" t="s">
        <v>50</v>
      </c>
      <c r="D34" s="6" t="s">
        <v>64</v>
      </c>
    </row>
    <row r="35" customFormat="false" ht="15" hidden="false" customHeight="false" outlineLevel="0" collapsed="false">
      <c r="A35" s="4" t="s">
        <v>65</v>
      </c>
      <c r="B35" s="5" t="n">
        <v>19</v>
      </c>
      <c r="C35" s="6" t="s">
        <v>50</v>
      </c>
      <c r="D35" s="6" t="s">
        <v>66</v>
      </c>
    </row>
    <row r="36" customFormat="false" ht="15" hidden="false" customHeight="false" outlineLevel="0" collapsed="false">
      <c r="A36" s="4" t="s">
        <v>67</v>
      </c>
      <c r="B36" s="5" t="n">
        <v>9</v>
      </c>
      <c r="C36" s="6" t="s">
        <v>50</v>
      </c>
      <c r="D36" s="6" t="s">
        <v>68</v>
      </c>
    </row>
    <row r="37" customFormat="false" ht="15" hidden="false" customHeight="false" outlineLevel="0" collapsed="false">
      <c r="A37" s="4" t="s">
        <v>69</v>
      </c>
      <c r="B37" s="5" t="n">
        <v>2</v>
      </c>
      <c r="C37" s="6" t="s">
        <v>50</v>
      </c>
      <c r="D37" s="6" t="s">
        <v>70</v>
      </c>
    </row>
    <row r="38" customFormat="false" ht="15" hidden="false" customHeight="false" outlineLevel="0" collapsed="false">
      <c r="A38" s="3" t="s">
        <v>71</v>
      </c>
      <c r="B38" s="3"/>
      <c r="C38" s="3"/>
      <c r="D38" s="3"/>
    </row>
    <row r="39" customFormat="false" ht="15" hidden="false" customHeight="false" outlineLevel="0" collapsed="false">
      <c r="A39" s="4" t="s">
        <v>72</v>
      </c>
      <c r="B39" s="10" t="n">
        <v>0.2</v>
      </c>
      <c r="C39" s="6" t="s">
        <v>20</v>
      </c>
      <c r="D39" s="6" t="s">
        <v>73</v>
      </c>
    </row>
    <row r="40" customFormat="false" ht="15" hidden="false" customHeight="false" outlineLevel="0" collapsed="false">
      <c r="A40" s="4" t="s">
        <v>74</v>
      </c>
      <c r="B40" s="10" t="n">
        <v>0.5</v>
      </c>
      <c r="C40" s="6" t="s">
        <v>20</v>
      </c>
      <c r="D40" s="6" t="s">
        <v>75</v>
      </c>
    </row>
  </sheetData>
  <mergeCells count="5">
    <mergeCell ref="A4:D4"/>
    <mergeCell ref="A8:D8"/>
    <mergeCell ref="A15:D15"/>
    <mergeCell ref="A26:D26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2"/>
  </cols>
  <sheetData>
    <row r="1" customFormat="false" ht="22.0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11" t="s">
        <v>78</v>
      </c>
      <c r="B4" s="11" t="s">
        <v>79</v>
      </c>
      <c r="C4" s="11" t="s">
        <v>80</v>
      </c>
      <c r="D4" s="11" t="s">
        <v>81</v>
      </c>
      <c r="E4" s="11" t="s">
        <v>82</v>
      </c>
      <c r="F4" s="11" t="s">
        <v>83</v>
      </c>
      <c r="G4" s="11" t="s">
        <v>84</v>
      </c>
      <c r="H4" s="11" t="s">
        <v>85</v>
      </c>
      <c r="I4" s="11" t="s">
        <v>86</v>
      </c>
    </row>
    <row r="5" customFormat="false" ht="26.85" hidden="false" customHeight="false" outlineLevel="0" collapsed="false">
      <c r="A5" s="12" t="n">
        <v>1</v>
      </c>
      <c r="B5" s="4" t="s">
        <v>87</v>
      </c>
      <c r="C5" s="13" t="s">
        <v>88</v>
      </c>
      <c r="D5" s="14" t="n">
        <v>6</v>
      </c>
      <c r="E5" s="14" t="n">
        <v>2</v>
      </c>
      <c r="F5" s="15" t="n">
        <f aca="false">D5*Assumptions!$B$13*1000/1000000*(Assumptions!$B$14*Assumptions!$B$9+(1-Assumptions!$B$14)*Assumptions!$B$10)*(1+Assumptions!$B$40)</f>
        <v>1.485</v>
      </c>
      <c r="G5" s="16" t="n">
        <f aca="false">E5*Assumptions!$B$5*(1+Assumptions!$B$39)</f>
        <v>120</v>
      </c>
      <c r="H5" s="17" t="n">
        <f aca="false">F5+G5</f>
        <v>121.485</v>
      </c>
      <c r="I5" s="6" t="s">
        <v>89</v>
      </c>
    </row>
    <row r="6" customFormat="false" ht="39.55" hidden="false" customHeight="false" outlineLevel="0" collapsed="false">
      <c r="A6" s="12" t="n">
        <v>1</v>
      </c>
      <c r="B6" s="4" t="s">
        <v>90</v>
      </c>
      <c r="C6" s="13" t="s">
        <v>88</v>
      </c>
      <c r="D6" s="14" t="n">
        <v>18</v>
      </c>
      <c r="E6" s="14" t="n">
        <v>4</v>
      </c>
      <c r="F6" s="15" t="n">
        <f aca="false">D6*Assumptions!$B$13*1000/1000000*(Assumptions!$B$14*Assumptions!$B$9+(1-Assumptions!$B$14)*Assumptions!$B$10)*(1+Assumptions!$B$40)</f>
        <v>4.455</v>
      </c>
      <c r="G6" s="16" t="n">
        <f aca="false">E6*Assumptions!$B$5*(1+Assumptions!$B$39)</f>
        <v>240</v>
      </c>
      <c r="H6" s="17" t="n">
        <f aca="false">F6+G6</f>
        <v>244.455</v>
      </c>
      <c r="I6" s="6" t="s">
        <v>91</v>
      </c>
    </row>
    <row r="7" customFormat="false" ht="26.85" hidden="false" customHeight="false" outlineLevel="0" collapsed="false">
      <c r="A7" s="12" t="n">
        <v>1</v>
      </c>
      <c r="B7" s="4" t="s">
        <v>92</v>
      </c>
      <c r="C7" s="13" t="s">
        <v>88</v>
      </c>
      <c r="D7" s="14" t="n">
        <v>8</v>
      </c>
      <c r="E7" s="14" t="n">
        <v>2</v>
      </c>
      <c r="F7" s="15" t="n">
        <f aca="false">D7*Assumptions!$B$13*1000/1000000*(Assumptions!$B$14*Assumptions!$B$9+(1-Assumptions!$B$14)*Assumptions!$B$10)*(1+Assumptions!$B$40)</f>
        <v>1.98</v>
      </c>
      <c r="G7" s="16" t="n">
        <f aca="false">E7*Assumptions!$B$5*(1+Assumptions!$B$39)</f>
        <v>120</v>
      </c>
      <c r="H7" s="17" t="n">
        <f aca="false">F7+G7</f>
        <v>121.98</v>
      </c>
      <c r="I7" s="6" t="s">
        <v>93</v>
      </c>
    </row>
    <row r="8" customFormat="false" ht="26.85" hidden="false" customHeight="false" outlineLevel="0" collapsed="false">
      <c r="A8" s="12" t="n">
        <v>1</v>
      </c>
      <c r="B8" s="4" t="s">
        <v>94</v>
      </c>
      <c r="C8" s="13" t="s">
        <v>88</v>
      </c>
      <c r="D8" s="14" t="n">
        <v>22</v>
      </c>
      <c r="E8" s="14" t="n">
        <v>6</v>
      </c>
      <c r="F8" s="15" t="n">
        <f aca="false">D8*Assumptions!$B$13*1000/1000000*(Assumptions!$B$14*Assumptions!$B$9+(1-Assumptions!$B$14)*Assumptions!$B$10)*(1+Assumptions!$B$40)</f>
        <v>5.445</v>
      </c>
      <c r="G8" s="16" t="n">
        <f aca="false">E8*Assumptions!$B$5*(1+Assumptions!$B$39)</f>
        <v>360</v>
      </c>
      <c r="H8" s="17" t="n">
        <f aca="false">F8+G8</f>
        <v>365.445</v>
      </c>
      <c r="I8" s="6" t="s">
        <v>95</v>
      </c>
    </row>
    <row r="9" customFormat="false" ht="26.85" hidden="false" customHeight="false" outlineLevel="0" collapsed="false">
      <c r="A9" s="12" t="n">
        <v>1</v>
      </c>
      <c r="B9" s="4" t="s">
        <v>96</v>
      </c>
      <c r="C9" s="13" t="s">
        <v>88</v>
      </c>
      <c r="D9" s="14" t="n">
        <v>10</v>
      </c>
      <c r="E9" s="14" t="n">
        <v>3</v>
      </c>
      <c r="F9" s="15" t="n">
        <f aca="false">D9*Assumptions!$B$13*1000/1000000*(Assumptions!$B$14*Assumptions!$B$9+(1-Assumptions!$B$14)*Assumptions!$B$10)*(1+Assumptions!$B$40)</f>
        <v>2.475</v>
      </c>
      <c r="G9" s="16" t="n">
        <f aca="false">E9*Assumptions!$B$5*(1+Assumptions!$B$39)</f>
        <v>180</v>
      </c>
      <c r="H9" s="17" t="n">
        <f aca="false">F9+G9</f>
        <v>182.475</v>
      </c>
      <c r="I9" s="6" t="s">
        <v>97</v>
      </c>
    </row>
    <row r="10" customFormat="false" ht="26.85" hidden="false" customHeight="false" outlineLevel="0" collapsed="false">
      <c r="A10" s="12" t="n">
        <v>1</v>
      </c>
      <c r="B10" s="4" t="s">
        <v>98</v>
      </c>
      <c r="C10" s="13" t="s">
        <v>88</v>
      </c>
      <c r="D10" s="14" t="n">
        <v>6</v>
      </c>
      <c r="E10" s="14" t="n">
        <v>2</v>
      </c>
      <c r="F10" s="15" t="n">
        <f aca="false">D10*Assumptions!$B$13*1000/1000000*(Assumptions!$B$14*Assumptions!$B$9+(1-Assumptions!$B$14)*Assumptions!$B$10)*(1+Assumptions!$B$40)</f>
        <v>1.485</v>
      </c>
      <c r="G10" s="16" t="n">
        <f aca="false">E10*Assumptions!$B$5*(1+Assumptions!$B$39)</f>
        <v>120</v>
      </c>
      <c r="H10" s="17" t="n">
        <f aca="false">F10+G10</f>
        <v>121.485</v>
      </c>
      <c r="I10" s="6" t="s">
        <v>99</v>
      </c>
    </row>
    <row r="11" customFormat="false" ht="26.85" hidden="false" customHeight="false" outlineLevel="0" collapsed="false">
      <c r="A11" s="12" t="n">
        <v>1</v>
      </c>
      <c r="B11" s="4" t="s">
        <v>100</v>
      </c>
      <c r="C11" s="13" t="s">
        <v>88</v>
      </c>
      <c r="D11" s="14" t="n">
        <v>10</v>
      </c>
      <c r="E11" s="14" t="n">
        <v>3</v>
      </c>
      <c r="F11" s="15" t="n">
        <f aca="false">D11*Assumptions!$B$13*1000/1000000*(Assumptions!$B$14*Assumptions!$B$9+(1-Assumptions!$B$14)*Assumptions!$B$10)*(1+Assumptions!$B$40)</f>
        <v>2.475</v>
      </c>
      <c r="G11" s="16" t="n">
        <f aca="false">E11*Assumptions!$B$5*(1+Assumptions!$B$39)</f>
        <v>180</v>
      </c>
      <c r="H11" s="17" t="n">
        <f aca="false">F11+G11</f>
        <v>182.475</v>
      </c>
      <c r="I11" s="6" t="s">
        <v>101</v>
      </c>
    </row>
    <row r="12" customFormat="false" ht="26.85" hidden="false" customHeight="false" outlineLevel="0" collapsed="false">
      <c r="A12" s="12" t="n">
        <v>2</v>
      </c>
      <c r="B12" s="4" t="s">
        <v>102</v>
      </c>
      <c r="C12" s="13" t="s">
        <v>88</v>
      </c>
      <c r="D12" s="14" t="n">
        <v>6</v>
      </c>
      <c r="E12" s="14" t="n">
        <v>2</v>
      </c>
      <c r="F12" s="15" t="n">
        <f aca="false">D12*Assumptions!$B$13*1000/1000000*(Assumptions!$B$14*Assumptions!$B$9+(1-Assumptions!$B$14)*Assumptions!$B$10)*(1+Assumptions!$B$40)</f>
        <v>1.485</v>
      </c>
      <c r="G12" s="16" t="n">
        <f aca="false">E12*Assumptions!$B$5*(1+Assumptions!$B$39)</f>
        <v>120</v>
      </c>
      <c r="H12" s="17" t="n">
        <f aca="false">F12+G12</f>
        <v>121.485</v>
      </c>
      <c r="I12" s="6" t="s">
        <v>103</v>
      </c>
    </row>
    <row r="13" customFormat="false" ht="26.85" hidden="false" customHeight="false" outlineLevel="0" collapsed="false">
      <c r="A13" s="12" t="n">
        <v>2</v>
      </c>
      <c r="B13" s="4" t="s">
        <v>104</v>
      </c>
      <c r="C13" s="13" t="s">
        <v>88</v>
      </c>
      <c r="D13" s="14" t="n">
        <v>6</v>
      </c>
      <c r="E13" s="14" t="n">
        <v>2</v>
      </c>
      <c r="F13" s="15" t="n">
        <f aca="false">D13*Assumptions!$B$13*1000/1000000*(Assumptions!$B$14*Assumptions!$B$9+(1-Assumptions!$B$14)*Assumptions!$B$10)*(1+Assumptions!$B$40)</f>
        <v>1.485</v>
      </c>
      <c r="G13" s="16" t="n">
        <f aca="false">E13*Assumptions!$B$5*(1+Assumptions!$B$39)</f>
        <v>120</v>
      </c>
      <c r="H13" s="17" t="n">
        <f aca="false">F13+G13</f>
        <v>121.485</v>
      </c>
      <c r="I13" s="6" t="s">
        <v>105</v>
      </c>
    </row>
    <row r="14" customFormat="false" ht="26.85" hidden="false" customHeight="false" outlineLevel="0" collapsed="false">
      <c r="A14" s="12" t="n">
        <v>2</v>
      </c>
      <c r="B14" s="4" t="s">
        <v>106</v>
      </c>
      <c r="C14" s="13" t="s">
        <v>88</v>
      </c>
      <c r="D14" s="14" t="n">
        <v>6</v>
      </c>
      <c r="E14" s="14" t="n">
        <v>2</v>
      </c>
      <c r="F14" s="15" t="n">
        <f aca="false">D14*Assumptions!$B$13*1000/1000000*(Assumptions!$B$14*Assumptions!$B$9+(1-Assumptions!$B$14)*Assumptions!$B$10)*(1+Assumptions!$B$40)</f>
        <v>1.485</v>
      </c>
      <c r="G14" s="16" t="n">
        <f aca="false">E14*Assumptions!$B$5*(1+Assumptions!$B$39)</f>
        <v>120</v>
      </c>
      <c r="H14" s="17" t="n">
        <f aca="false">F14+G14</f>
        <v>121.485</v>
      </c>
      <c r="I14" s="6" t="s">
        <v>107</v>
      </c>
    </row>
    <row r="15" customFormat="false" ht="26.85" hidden="false" customHeight="false" outlineLevel="0" collapsed="false">
      <c r="A15" s="12" t="n">
        <v>2</v>
      </c>
      <c r="B15" s="4" t="s">
        <v>108</v>
      </c>
      <c r="C15" s="13" t="s">
        <v>88</v>
      </c>
      <c r="D15" s="14" t="n">
        <v>8</v>
      </c>
      <c r="E15" s="14" t="n">
        <v>3</v>
      </c>
      <c r="F15" s="15" t="n">
        <f aca="false">D15*Assumptions!$B$13*1000/1000000*(Assumptions!$B$14*Assumptions!$B$9+(1-Assumptions!$B$14)*Assumptions!$B$10)*(1+Assumptions!$B$40)</f>
        <v>1.98</v>
      </c>
      <c r="G15" s="16" t="n">
        <f aca="false">E15*Assumptions!$B$5*(1+Assumptions!$B$39)</f>
        <v>180</v>
      </c>
      <c r="H15" s="17" t="n">
        <f aca="false">F15+G15</f>
        <v>181.98</v>
      </c>
      <c r="I15" s="6" t="s">
        <v>109</v>
      </c>
    </row>
    <row r="16" customFormat="false" ht="26.85" hidden="false" customHeight="false" outlineLevel="0" collapsed="false">
      <c r="A16" s="12" t="n">
        <v>2</v>
      </c>
      <c r="B16" s="4" t="s">
        <v>110</v>
      </c>
      <c r="C16" s="18" t="s">
        <v>111</v>
      </c>
      <c r="D16" s="14" t="n">
        <v>8</v>
      </c>
      <c r="E16" s="14" t="n">
        <v>3</v>
      </c>
      <c r="F16" s="15" t="n">
        <f aca="false">D16*Assumptions!$B$13*1000/1000000*(Assumptions!$B$14*Assumptions!$B$9+(1-Assumptions!$B$14)*Assumptions!$B$10)*(1+Assumptions!$B$40)</f>
        <v>1.98</v>
      </c>
      <c r="G16" s="16" t="n">
        <f aca="false">E16*Assumptions!$B$5*(1+Assumptions!$B$39)</f>
        <v>180</v>
      </c>
      <c r="H16" s="17" t="n">
        <f aca="false">F16+G16</f>
        <v>181.98</v>
      </c>
      <c r="I16" s="6" t="s">
        <v>112</v>
      </c>
    </row>
    <row r="17" customFormat="false" ht="26.85" hidden="false" customHeight="false" outlineLevel="0" collapsed="false">
      <c r="A17" s="12" t="n">
        <v>2</v>
      </c>
      <c r="B17" s="4" t="s">
        <v>113</v>
      </c>
      <c r="C17" s="13" t="s">
        <v>88</v>
      </c>
      <c r="D17" s="14" t="n">
        <v>4</v>
      </c>
      <c r="E17" s="14" t="n">
        <v>2</v>
      </c>
      <c r="F17" s="15" t="n">
        <f aca="false">D17*Assumptions!$B$13*1000/1000000*(Assumptions!$B$14*Assumptions!$B$9+(1-Assumptions!$B$14)*Assumptions!$B$10)*(1+Assumptions!$B$40)</f>
        <v>0.99</v>
      </c>
      <c r="G17" s="16" t="n">
        <f aca="false">E17*Assumptions!$B$5*(1+Assumptions!$B$39)</f>
        <v>120</v>
      </c>
      <c r="H17" s="17" t="n">
        <f aca="false">F17+G17</f>
        <v>120.99</v>
      </c>
      <c r="I17" s="6" t="s">
        <v>114</v>
      </c>
    </row>
    <row r="18" customFormat="false" ht="26.85" hidden="false" customHeight="false" outlineLevel="0" collapsed="false">
      <c r="A18" s="12" t="n">
        <v>3</v>
      </c>
      <c r="B18" s="4" t="s">
        <v>115</v>
      </c>
      <c r="C18" s="13" t="s">
        <v>88</v>
      </c>
      <c r="D18" s="14" t="n">
        <v>10</v>
      </c>
      <c r="E18" s="14" t="n">
        <v>3</v>
      </c>
      <c r="F18" s="15" t="n">
        <f aca="false">D18*Assumptions!$B$13*1000/1000000*(Assumptions!$B$14*Assumptions!$B$9+(1-Assumptions!$B$14)*Assumptions!$B$10)*(1+Assumptions!$B$40)</f>
        <v>2.475</v>
      </c>
      <c r="G18" s="16" t="n">
        <f aca="false">E18*Assumptions!$B$5*(1+Assumptions!$B$39)</f>
        <v>180</v>
      </c>
      <c r="H18" s="17" t="n">
        <f aca="false">F18+G18</f>
        <v>182.475</v>
      </c>
      <c r="I18" s="6" t="s">
        <v>116</v>
      </c>
    </row>
    <row r="19" customFormat="false" ht="26.85" hidden="false" customHeight="false" outlineLevel="0" collapsed="false">
      <c r="A19" s="12" t="n">
        <v>3</v>
      </c>
      <c r="B19" s="4" t="s">
        <v>117</v>
      </c>
      <c r="C19" s="13" t="s">
        <v>88</v>
      </c>
      <c r="D19" s="14" t="n">
        <v>14</v>
      </c>
      <c r="E19" s="14" t="n">
        <v>5</v>
      </c>
      <c r="F19" s="15" t="n">
        <f aca="false">D19*Assumptions!$B$13*1000/1000000*(Assumptions!$B$14*Assumptions!$B$9+(1-Assumptions!$B$14)*Assumptions!$B$10)*(1+Assumptions!$B$40)</f>
        <v>3.465</v>
      </c>
      <c r="G19" s="16" t="n">
        <f aca="false">E19*Assumptions!$B$5*(1+Assumptions!$B$39)</f>
        <v>300</v>
      </c>
      <c r="H19" s="17" t="n">
        <f aca="false">F19+G19</f>
        <v>303.465</v>
      </c>
      <c r="I19" s="6" t="s">
        <v>118</v>
      </c>
    </row>
    <row r="20" customFormat="false" ht="26.85" hidden="false" customHeight="false" outlineLevel="0" collapsed="false">
      <c r="A20" s="12" t="n">
        <v>3</v>
      </c>
      <c r="B20" s="4" t="s">
        <v>119</v>
      </c>
      <c r="C20" s="13" t="s">
        <v>88</v>
      </c>
      <c r="D20" s="14" t="n">
        <v>8</v>
      </c>
      <c r="E20" s="14" t="n">
        <v>3</v>
      </c>
      <c r="F20" s="15" t="n">
        <f aca="false">D20*Assumptions!$B$13*1000/1000000*(Assumptions!$B$14*Assumptions!$B$9+(1-Assumptions!$B$14)*Assumptions!$B$10)*(1+Assumptions!$B$40)</f>
        <v>1.98</v>
      </c>
      <c r="G20" s="16" t="n">
        <f aca="false">E20*Assumptions!$B$5*(1+Assumptions!$B$39)</f>
        <v>180</v>
      </c>
      <c r="H20" s="17" t="n">
        <f aca="false">F20+G20</f>
        <v>181.98</v>
      </c>
      <c r="I20" s="6" t="s">
        <v>120</v>
      </c>
    </row>
    <row r="21" customFormat="false" ht="26.85" hidden="false" customHeight="false" outlineLevel="0" collapsed="false">
      <c r="A21" s="12" t="n">
        <v>3</v>
      </c>
      <c r="B21" s="4" t="s">
        <v>121</v>
      </c>
      <c r="C21" s="13" t="s">
        <v>88</v>
      </c>
      <c r="D21" s="14" t="n">
        <v>10</v>
      </c>
      <c r="E21" s="14" t="n">
        <v>3</v>
      </c>
      <c r="F21" s="15" t="n">
        <f aca="false">D21*Assumptions!$B$13*1000/1000000*(Assumptions!$B$14*Assumptions!$B$9+(1-Assumptions!$B$14)*Assumptions!$B$10)*(1+Assumptions!$B$40)</f>
        <v>2.475</v>
      </c>
      <c r="G21" s="16" t="n">
        <f aca="false">E21*Assumptions!$B$5*(1+Assumptions!$B$39)</f>
        <v>180</v>
      </c>
      <c r="H21" s="17" t="n">
        <f aca="false">F21+G21</f>
        <v>182.475</v>
      </c>
      <c r="I21" s="6" t="s">
        <v>122</v>
      </c>
    </row>
    <row r="22" customFormat="false" ht="26.85" hidden="false" customHeight="false" outlineLevel="0" collapsed="false">
      <c r="A22" s="12" t="n">
        <v>3</v>
      </c>
      <c r="B22" s="4" t="s">
        <v>123</v>
      </c>
      <c r="C22" s="13" t="s">
        <v>88</v>
      </c>
      <c r="D22" s="14" t="n">
        <v>12</v>
      </c>
      <c r="E22" s="14" t="n">
        <v>4</v>
      </c>
      <c r="F22" s="15" t="n">
        <f aca="false">D22*Assumptions!$B$13*1000/1000000*(Assumptions!$B$14*Assumptions!$B$9+(1-Assumptions!$B$14)*Assumptions!$B$10)*(1+Assumptions!$B$40)</f>
        <v>2.97</v>
      </c>
      <c r="G22" s="16" t="n">
        <f aca="false">E22*Assumptions!$B$5*(1+Assumptions!$B$39)</f>
        <v>240</v>
      </c>
      <c r="H22" s="17" t="n">
        <f aca="false">F22+G22</f>
        <v>242.97</v>
      </c>
      <c r="I22" s="6" t="s">
        <v>124</v>
      </c>
    </row>
    <row r="23" customFormat="false" ht="26.85" hidden="false" customHeight="false" outlineLevel="0" collapsed="false">
      <c r="A23" s="12" t="n">
        <v>3</v>
      </c>
      <c r="B23" s="4" t="s">
        <v>125</v>
      </c>
      <c r="C23" s="18" t="s">
        <v>111</v>
      </c>
      <c r="D23" s="14" t="n">
        <v>6</v>
      </c>
      <c r="E23" s="14" t="n">
        <v>2</v>
      </c>
      <c r="F23" s="15" t="n">
        <f aca="false">D23*Assumptions!$B$13*1000/1000000*(Assumptions!$B$14*Assumptions!$B$9+(1-Assumptions!$B$14)*Assumptions!$B$10)*(1+Assumptions!$B$40)</f>
        <v>1.485</v>
      </c>
      <c r="G23" s="16" t="n">
        <f aca="false">E23*Assumptions!$B$5*(1+Assumptions!$B$39)</f>
        <v>120</v>
      </c>
      <c r="H23" s="17" t="n">
        <f aca="false">F23+G23</f>
        <v>121.485</v>
      </c>
      <c r="I23" s="6" t="s">
        <v>126</v>
      </c>
    </row>
    <row r="24" customFormat="false" ht="26.85" hidden="false" customHeight="false" outlineLevel="0" collapsed="false">
      <c r="A24" s="12" t="n">
        <v>3</v>
      </c>
      <c r="B24" s="4" t="s">
        <v>127</v>
      </c>
      <c r="C24" s="13" t="s">
        <v>88</v>
      </c>
      <c r="D24" s="14" t="n">
        <v>6</v>
      </c>
      <c r="E24" s="14" t="n">
        <v>3</v>
      </c>
      <c r="F24" s="15" t="n">
        <f aca="false">D24*Assumptions!$B$13*1000/1000000*(Assumptions!$B$14*Assumptions!$B$9+(1-Assumptions!$B$14)*Assumptions!$B$10)*(1+Assumptions!$B$40)</f>
        <v>1.485</v>
      </c>
      <c r="G24" s="16" t="n">
        <f aca="false">E24*Assumptions!$B$5*(1+Assumptions!$B$39)</f>
        <v>180</v>
      </c>
      <c r="H24" s="17" t="n">
        <f aca="false">F24+G24</f>
        <v>181.485</v>
      </c>
      <c r="I24" s="6" t="s">
        <v>128</v>
      </c>
    </row>
    <row r="25" customFormat="false" ht="26.85" hidden="false" customHeight="false" outlineLevel="0" collapsed="false">
      <c r="A25" s="12" t="n">
        <v>4</v>
      </c>
      <c r="B25" s="4" t="s">
        <v>129</v>
      </c>
      <c r="C25" s="13" t="s">
        <v>88</v>
      </c>
      <c r="D25" s="14" t="n">
        <v>12</v>
      </c>
      <c r="E25" s="14" t="n">
        <v>4</v>
      </c>
      <c r="F25" s="15" t="n">
        <f aca="false">D25*Assumptions!$B$13*1000/1000000*(Assumptions!$B$14*Assumptions!$B$9+(1-Assumptions!$B$14)*Assumptions!$B$10)*(1+Assumptions!$B$40)</f>
        <v>2.97</v>
      </c>
      <c r="G25" s="16" t="n">
        <f aca="false">E25*Assumptions!$B$5*(1+Assumptions!$B$39)</f>
        <v>240</v>
      </c>
      <c r="H25" s="17" t="n">
        <f aca="false">F25+G25</f>
        <v>242.97</v>
      </c>
      <c r="I25" s="6" t="s">
        <v>130</v>
      </c>
    </row>
    <row r="26" customFormat="false" ht="26.85" hidden="false" customHeight="false" outlineLevel="0" collapsed="false">
      <c r="A26" s="12" t="n">
        <v>4</v>
      </c>
      <c r="B26" s="4" t="s">
        <v>131</v>
      </c>
      <c r="C26" s="13" t="s">
        <v>88</v>
      </c>
      <c r="D26" s="14" t="n">
        <v>6</v>
      </c>
      <c r="E26" s="14" t="n">
        <v>3</v>
      </c>
      <c r="F26" s="15" t="n">
        <f aca="false">D26*Assumptions!$B$13*1000/1000000*(Assumptions!$B$14*Assumptions!$B$9+(1-Assumptions!$B$14)*Assumptions!$B$10)*(1+Assumptions!$B$40)</f>
        <v>1.485</v>
      </c>
      <c r="G26" s="16" t="n">
        <f aca="false">E26*Assumptions!$B$5*(1+Assumptions!$B$39)</f>
        <v>180</v>
      </c>
      <c r="H26" s="17" t="n">
        <f aca="false">F26+G26</f>
        <v>181.485</v>
      </c>
      <c r="I26" s="6" t="s">
        <v>132</v>
      </c>
    </row>
    <row r="27" customFormat="false" ht="26.85" hidden="false" customHeight="false" outlineLevel="0" collapsed="false">
      <c r="A27" s="12" t="n">
        <v>4</v>
      </c>
      <c r="B27" s="4" t="s">
        <v>133</v>
      </c>
      <c r="C27" s="13" t="s">
        <v>88</v>
      </c>
      <c r="D27" s="14" t="n">
        <v>4</v>
      </c>
      <c r="E27" s="14" t="n">
        <v>2</v>
      </c>
      <c r="F27" s="15" t="n">
        <f aca="false">D27*Assumptions!$B$13*1000/1000000*(Assumptions!$B$14*Assumptions!$B$9+(1-Assumptions!$B$14)*Assumptions!$B$10)*(1+Assumptions!$B$40)</f>
        <v>0.99</v>
      </c>
      <c r="G27" s="16" t="n">
        <f aca="false">E27*Assumptions!$B$5*(1+Assumptions!$B$39)</f>
        <v>120</v>
      </c>
      <c r="H27" s="17" t="n">
        <f aca="false">F27+G27</f>
        <v>120.99</v>
      </c>
      <c r="I27" s="6" t="s">
        <v>134</v>
      </c>
    </row>
    <row r="28" customFormat="false" ht="26.85" hidden="false" customHeight="false" outlineLevel="0" collapsed="false">
      <c r="A28" s="12" t="n">
        <v>4</v>
      </c>
      <c r="B28" s="4" t="s">
        <v>135</v>
      </c>
      <c r="C28" s="13" t="s">
        <v>88</v>
      </c>
      <c r="D28" s="14" t="n">
        <v>8</v>
      </c>
      <c r="E28" s="14" t="n">
        <v>3</v>
      </c>
      <c r="F28" s="15" t="n">
        <f aca="false">D28*Assumptions!$B$13*1000/1000000*(Assumptions!$B$14*Assumptions!$B$9+(1-Assumptions!$B$14)*Assumptions!$B$10)*(1+Assumptions!$B$40)</f>
        <v>1.98</v>
      </c>
      <c r="G28" s="16" t="n">
        <f aca="false">E28*Assumptions!$B$5*(1+Assumptions!$B$39)</f>
        <v>180</v>
      </c>
      <c r="H28" s="17" t="n">
        <f aca="false">F28+G28</f>
        <v>181.98</v>
      </c>
      <c r="I28" s="6" t="s">
        <v>136</v>
      </c>
    </row>
    <row r="29" customFormat="false" ht="26.85" hidden="false" customHeight="false" outlineLevel="0" collapsed="false">
      <c r="A29" s="12" t="n">
        <v>4</v>
      </c>
      <c r="B29" s="4" t="s">
        <v>137</v>
      </c>
      <c r="C29" s="13" t="s">
        <v>88</v>
      </c>
      <c r="D29" s="14" t="n">
        <v>6</v>
      </c>
      <c r="E29" s="14" t="n">
        <v>3</v>
      </c>
      <c r="F29" s="15" t="n">
        <f aca="false">D29*Assumptions!$B$13*1000/1000000*(Assumptions!$B$14*Assumptions!$B$9+(1-Assumptions!$B$14)*Assumptions!$B$10)*(1+Assumptions!$B$40)</f>
        <v>1.485</v>
      </c>
      <c r="G29" s="16" t="n">
        <f aca="false">E29*Assumptions!$B$5*(1+Assumptions!$B$39)</f>
        <v>180</v>
      </c>
      <c r="H29" s="17" t="n">
        <f aca="false">F29+G29</f>
        <v>181.485</v>
      </c>
      <c r="I29" s="6" t="s">
        <v>138</v>
      </c>
    </row>
    <row r="30" customFormat="false" ht="26.85" hidden="false" customHeight="false" outlineLevel="0" collapsed="false">
      <c r="A30" s="12" t="n">
        <v>4</v>
      </c>
      <c r="B30" s="4" t="s">
        <v>139</v>
      </c>
      <c r="C30" s="13" t="s">
        <v>88</v>
      </c>
      <c r="D30" s="14" t="n">
        <v>4</v>
      </c>
      <c r="E30" s="14" t="n">
        <v>2</v>
      </c>
      <c r="F30" s="15" t="n">
        <f aca="false">D30*Assumptions!$B$13*1000/1000000*(Assumptions!$B$14*Assumptions!$B$9+(1-Assumptions!$B$14)*Assumptions!$B$10)*(1+Assumptions!$B$40)</f>
        <v>0.99</v>
      </c>
      <c r="G30" s="16" t="n">
        <f aca="false">E30*Assumptions!$B$5*(1+Assumptions!$B$39)</f>
        <v>120</v>
      </c>
      <c r="H30" s="17" t="n">
        <f aca="false">F30+G30</f>
        <v>120.99</v>
      </c>
      <c r="I30" s="6" t="s">
        <v>140</v>
      </c>
    </row>
    <row r="31" customFormat="false" ht="26.85" hidden="false" customHeight="false" outlineLevel="0" collapsed="false">
      <c r="A31" s="12" t="n">
        <v>4</v>
      </c>
      <c r="B31" s="4" t="s">
        <v>141</v>
      </c>
      <c r="C31" s="13" t="s">
        <v>88</v>
      </c>
      <c r="D31" s="14" t="n">
        <v>6</v>
      </c>
      <c r="E31" s="14" t="n">
        <v>3</v>
      </c>
      <c r="F31" s="15" t="n">
        <f aca="false">D31*Assumptions!$B$13*1000/1000000*(Assumptions!$B$14*Assumptions!$B$9+(1-Assumptions!$B$14)*Assumptions!$B$10)*(1+Assumptions!$B$40)</f>
        <v>1.485</v>
      </c>
      <c r="G31" s="16" t="n">
        <f aca="false">E31*Assumptions!$B$5*(1+Assumptions!$B$39)</f>
        <v>180</v>
      </c>
      <c r="H31" s="17" t="n">
        <f aca="false">F31+G31</f>
        <v>181.485</v>
      </c>
      <c r="I31" s="6" t="s">
        <v>142</v>
      </c>
    </row>
    <row r="32" customFormat="false" ht="26.85" hidden="false" customHeight="false" outlineLevel="0" collapsed="false">
      <c r="A32" s="12" t="n">
        <v>4</v>
      </c>
      <c r="B32" s="4" t="s">
        <v>143</v>
      </c>
      <c r="C32" s="13" t="s">
        <v>88</v>
      </c>
      <c r="D32" s="14" t="n">
        <v>4</v>
      </c>
      <c r="E32" s="14" t="n">
        <v>8</v>
      </c>
      <c r="F32" s="15" t="n">
        <f aca="false">D32*Assumptions!$B$13*1000/1000000*(Assumptions!$B$14*Assumptions!$B$9+(1-Assumptions!$B$14)*Assumptions!$B$10)*(1+Assumptions!$B$40)</f>
        <v>0.99</v>
      </c>
      <c r="G32" s="16" t="n">
        <f aca="false">E32*Assumptions!$B$5*(1+Assumptions!$B$39)</f>
        <v>480</v>
      </c>
      <c r="H32" s="17" t="n">
        <f aca="false">F32+G32</f>
        <v>480.99</v>
      </c>
      <c r="I32" s="6" t="s">
        <v>144</v>
      </c>
    </row>
    <row r="33" customFormat="false" ht="15" hidden="false" customHeight="false" outlineLevel="0" collapsed="false">
      <c r="B33" s="19" t="s">
        <v>145</v>
      </c>
      <c r="D33" s="20" t="n">
        <f aca="false">SUM(D5:D32)</f>
        <v>234</v>
      </c>
      <c r="E33" s="20" t="n">
        <f aca="false">SUM(E5:E32)</f>
        <v>87</v>
      </c>
      <c r="F33" s="21" t="n">
        <f aca="false">SUM(F5:F32)</f>
        <v>57.915</v>
      </c>
      <c r="G33" s="22" t="n">
        <f aca="false">SUM(G5:G32)</f>
        <v>5220</v>
      </c>
      <c r="H33" s="23" t="n">
        <f aca="false">SUM(H5:H32)</f>
        <v>5277.915</v>
      </c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  <c r="H35" s="24"/>
    </row>
    <row r="36" customFormat="false" ht="15" hidden="false" customHeight="false" outlineLevel="0" collapsed="false">
      <c r="B36" s="25" t="s">
        <v>146</v>
      </c>
      <c r="D36" s="14" t="n">
        <f aca="false">SUMIF(A5:A32,1,D5:D32)</f>
        <v>80</v>
      </c>
      <c r="E36" s="14" t="n">
        <f aca="false">SUMIF(A5:A32,1,E5:E32)</f>
        <v>22</v>
      </c>
      <c r="F36" s="15" t="n">
        <f aca="false">SUMIF(A5:A32,1,F5:F32)</f>
        <v>19.8</v>
      </c>
      <c r="G36" s="16" t="n">
        <f aca="false">SUMIF(A5:A32,1,G5:G32)</f>
        <v>1320</v>
      </c>
      <c r="H36" s="17" t="n">
        <f aca="false">SUMIF(A5:A32,1,H5:H32)</f>
        <v>1339.8</v>
      </c>
    </row>
    <row r="37" customFormat="false" ht="15" hidden="false" customHeight="false" outlineLevel="0" collapsed="false">
      <c r="B37" s="25" t="s">
        <v>147</v>
      </c>
      <c r="D37" s="14" t="n">
        <f aca="false">SUMIF(A5:A32,2,D5:D32)</f>
        <v>38</v>
      </c>
      <c r="E37" s="14" t="n">
        <f aca="false">SUMIF(A5:A32,2,E5:E32)</f>
        <v>14</v>
      </c>
      <c r="F37" s="15" t="n">
        <f aca="false">SUMIF(A5:A32,2,F5:F32)</f>
        <v>9.405</v>
      </c>
      <c r="G37" s="16" t="n">
        <f aca="false">SUMIF(A5:A32,2,G5:G32)</f>
        <v>840</v>
      </c>
      <c r="H37" s="17" t="n">
        <f aca="false">SUMIF(A5:A32,2,H5:H32)</f>
        <v>849.405</v>
      </c>
    </row>
    <row r="38" customFormat="false" ht="15" hidden="false" customHeight="false" outlineLevel="0" collapsed="false">
      <c r="B38" s="25" t="s">
        <v>148</v>
      </c>
      <c r="D38" s="14" t="n">
        <f aca="false">SUMIF(A5:A32,3,D5:D32)</f>
        <v>66</v>
      </c>
      <c r="E38" s="14" t="n">
        <f aca="false">SUMIF(A5:A32,3,E5:E32)</f>
        <v>23</v>
      </c>
      <c r="F38" s="15" t="n">
        <f aca="false">SUMIF(A5:A32,3,F5:F32)</f>
        <v>16.335</v>
      </c>
      <c r="G38" s="16" t="n">
        <f aca="false">SUMIF(A5:A32,3,G5:G32)</f>
        <v>1380</v>
      </c>
      <c r="H38" s="17" t="n">
        <f aca="false">SUMIF(A5:A32,3,H5:H32)</f>
        <v>1396.335</v>
      </c>
    </row>
    <row r="39" customFormat="false" ht="15" hidden="false" customHeight="false" outlineLevel="0" collapsed="false">
      <c r="B39" s="25" t="s">
        <v>149</v>
      </c>
      <c r="D39" s="14" t="n">
        <f aca="false">SUMIF(A5:A32,4,D5:D32)</f>
        <v>50</v>
      </c>
      <c r="E39" s="14" t="n">
        <f aca="false">SUMIF(A5:A32,4,E5:E32)</f>
        <v>28</v>
      </c>
      <c r="F39" s="15" t="n">
        <f aca="false">SUMIF(A5:A32,4,F5:F32)</f>
        <v>12.375</v>
      </c>
      <c r="G39" s="16" t="n">
        <f aca="false">SUMIF(A5:A32,4,G5:G32)</f>
        <v>1680</v>
      </c>
      <c r="H39" s="17" t="n">
        <f aca="false">SUMIF(A5:A32,4,H5:H32)</f>
        <v>1692.375</v>
      </c>
    </row>
  </sheetData>
  <mergeCells count="1"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22.0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15" hidden="false" customHeight="false" outlineLevel="0" collapsed="false">
      <c r="A4" s="11" t="s">
        <v>152</v>
      </c>
      <c r="B4" s="11" t="s">
        <v>153</v>
      </c>
      <c r="C4" s="11" t="s">
        <v>86</v>
      </c>
    </row>
    <row r="5" customFormat="false" ht="15" hidden="false" customHeight="true" outlineLevel="0" collapsed="false">
      <c r="A5" s="19" t="s">
        <v>154</v>
      </c>
      <c r="B5" s="19"/>
      <c r="C5" s="19"/>
    </row>
    <row r="6" customFormat="false" ht="15" hidden="false" customHeight="false" outlineLevel="0" collapsed="false">
      <c r="A6" s="4" t="s">
        <v>155</v>
      </c>
      <c r="B6" s="26" t="n">
        <f aca="false">Assumptions!$B$16*Assumptions!$B$17*Assumptions!$B$18</f>
        <v>768</v>
      </c>
      <c r="C6" s="6" t="s">
        <v>156</v>
      </c>
    </row>
    <row r="7" customFormat="false" ht="15" hidden="false" customHeight="false" outlineLevel="0" collapsed="false">
      <c r="A7" s="4" t="s">
        <v>157</v>
      </c>
      <c r="B7" s="26" t="n">
        <f aca="false">B6*Assumptions!$B$20</f>
        <v>1075.2</v>
      </c>
    </row>
    <row r="8" customFormat="false" ht="15" hidden="false" customHeight="false" outlineLevel="0" collapsed="false">
      <c r="A8" s="4" t="s">
        <v>158</v>
      </c>
      <c r="B8" s="26" t="n">
        <f aca="false">B7*Assumptions!$B$25</f>
        <v>236544</v>
      </c>
    </row>
    <row r="10" customFormat="false" ht="15" hidden="false" customHeight="true" outlineLevel="0" collapsed="false">
      <c r="A10" s="19" t="s">
        <v>159</v>
      </c>
      <c r="B10" s="19"/>
      <c r="C10" s="19"/>
    </row>
    <row r="11" customFormat="false" ht="15" hidden="false" customHeight="false" outlineLevel="0" collapsed="false">
      <c r="A11" s="4" t="s">
        <v>160</v>
      </c>
      <c r="B11" s="15" t="n">
        <f aca="false">B7*Assumptions!$B$21*Assumptions!$B$19*(0.6/1000000*Assumptions!$B$9+0.4/1000000*Assumptions!$B$10)*(1+Assumptions!$B$40)</f>
        <v>2.2643712</v>
      </c>
    </row>
    <row r="12" customFormat="false" ht="15" hidden="false" customHeight="false" outlineLevel="0" collapsed="false">
      <c r="A12" s="4" t="s">
        <v>161</v>
      </c>
      <c r="B12" s="15" t="n">
        <f aca="false">B7*Assumptions!$B$22*Assumptions!$B$19*(0.6/1000000*Assumptions!$B$11+0.4/1000000*Assumptions!$B$12)*(1+Assumptions!$B$40)</f>
        <v>5.43449088</v>
      </c>
    </row>
    <row r="13" customFormat="false" ht="15" hidden="false" customHeight="true" outlineLevel="0" collapsed="false">
      <c r="A13" s="19" t="s">
        <v>162</v>
      </c>
      <c r="B13" s="19"/>
      <c r="C13" s="19"/>
    </row>
    <row r="14" customFormat="false" ht="15" hidden="false" customHeight="false" outlineLevel="0" collapsed="false">
      <c r="A14" s="4" t="s">
        <v>163</v>
      </c>
      <c r="B14" s="15" t="n">
        <f aca="false">B6*Assumptions!$B$23</f>
        <v>3.3024</v>
      </c>
    </row>
    <row r="15" customFormat="false" ht="15" hidden="false" customHeight="false" outlineLevel="0" collapsed="false">
      <c r="A15" s="4" t="s">
        <v>164</v>
      </c>
      <c r="B15" s="15" t="n">
        <f aca="false">B8/1000*Assumptions!$B$24</f>
        <v>70.9632</v>
      </c>
    </row>
    <row r="16" customFormat="false" ht="15" hidden="false" customHeight="false" outlineLevel="0" collapsed="false">
      <c r="A16" s="25" t="s">
        <v>165</v>
      </c>
      <c r="B16" s="21" t="n">
        <f aca="false">B11+B12+B14+B15</f>
        <v>81.96446208</v>
      </c>
    </row>
    <row r="18" customFormat="false" ht="15" hidden="false" customHeight="true" outlineLevel="0" collapsed="false">
      <c r="A18" s="19" t="s">
        <v>166</v>
      </c>
      <c r="B18" s="19"/>
      <c r="C18" s="19"/>
    </row>
    <row r="19" customFormat="false" ht="15" hidden="false" customHeight="false" outlineLevel="0" collapsed="false">
      <c r="A19" s="4" t="s">
        <v>167</v>
      </c>
      <c r="B19" s="16" t="n">
        <f aca="false">Assumptions!B27</f>
        <v>130</v>
      </c>
    </row>
    <row r="20" customFormat="false" ht="15" hidden="false" customHeight="false" outlineLevel="0" collapsed="false">
      <c r="A20" s="4" t="s">
        <v>52</v>
      </c>
      <c r="B20" s="16" t="n">
        <f aca="false">Assumptions!B28</f>
        <v>2</v>
      </c>
    </row>
    <row r="21" customFormat="false" ht="15" hidden="false" customHeight="false" outlineLevel="0" collapsed="false">
      <c r="A21" s="4" t="s">
        <v>168</v>
      </c>
      <c r="B21" s="16" t="n">
        <f aca="false">Assumptions!B29</f>
        <v>25</v>
      </c>
    </row>
    <row r="22" customFormat="false" ht="15" hidden="false" customHeight="false" outlineLevel="0" collapsed="false">
      <c r="A22" s="4" t="s">
        <v>169</v>
      </c>
      <c r="B22" s="16" t="n">
        <f aca="false">Assumptions!B30</f>
        <v>25</v>
      </c>
    </row>
    <row r="23" customFormat="false" ht="15" hidden="false" customHeight="false" outlineLevel="0" collapsed="false">
      <c r="A23" s="4" t="s">
        <v>170</v>
      </c>
      <c r="B23" s="16" t="n">
        <f aca="false">Assumptions!B31</f>
        <v>25</v>
      </c>
    </row>
    <row r="24" customFormat="false" ht="15" hidden="false" customHeight="false" outlineLevel="0" collapsed="false">
      <c r="A24" s="4" t="s">
        <v>171</v>
      </c>
      <c r="B24" s="16" t="n">
        <f aca="false">Assumptions!B32</f>
        <v>0</v>
      </c>
    </row>
    <row r="25" customFormat="false" ht="15" hidden="false" customHeight="false" outlineLevel="0" collapsed="false">
      <c r="A25" s="4" t="s">
        <v>172</v>
      </c>
      <c r="B25" s="16" t="n">
        <f aca="false">Assumptions!B33</f>
        <v>25</v>
      </c>
    </row>
    <row r="26" customFormat="false" ht="15" hidden="false" customHeight="false" outlineLevel="0" collapsed="false">
      <c r="A26" s="4" t="s">
        <v>173</v>
      </c>
      <c r="B26" s="16" t="n">
        <f aca="false">Assumptions!B34</f>
        <v>8</v>
      </c>
    </row>
    <row r="27" customFormat="false" ht="15" hidden="false" customHeight="false" outlineLevel="0" collapsed="false">
      <c r="A27" s="4" t="s">
        <v>174</v>
      </c>
      <c r="B27" s="16" t="n">
        <f aca="false">Assumptions!B35</f>
        <v>19</v>
      </c>
    </row>
    <row r="28" customFormat="false" ht="15" hidden="false" customHeight="false" outlineLevel="0" collapsed="false">
      <c r="A28" s="4" t="s">
        <v>175</v>
      </c>
      <c r="B28" s="16" t="n">
        <f aca="false">Assumptions!B36</f>
        <v>9</v>
      </c>
    </row>
    <row r="29" customFormat="false" ht="15" hidden="false" customHeight="false" outlineLevel="0" collapsed="false">
      <c r="A29" s="4" t="s">
        <v>176</v>
      </c>
      <c r="B29" s="16" t="n">
        <f aca="false">Assumptions!B37</f>
        <v>2</v>
      </c>
    </row>
    <row r="30" customFormat="false" ht="15" hidden="false" customHeight="false" outlineLevel="0" collapsed="false">
      <c r="A30" s="25" t="s">
        <v>177</v>
      </c>
      <c r="B30" s="22" t="n">
        <f aca="false">SUM(B19:B29)</f>
        <v>270</v>
      </c>
    </row>
    <row r="32" customFormat="false" ht="15" hidden="false" customHeight="false" outlineLevel="0" collapsed="false">
      <c r="A32" s="11" t="s">
        <v>178</v>
      </c>
      <c r="B32" s="23" t="n">
        <f aca="false">B16+B30</f>
        <v>351.96446208</v>
      </c>
    </row>
    <row r="33" customFormat="false" ht="15" hidden="false" customHeight="false" outlineLevel="0" collapsed="false">
      <c r="A33" s="6" t="s">
        <v>179</v>
      </c>
      <c r="B33" s="27" t="n">
        <f aca="false">(B16)/Assumptions!$B$16</f>
        <v>10.24555776</v>
      </c>
      <c r="C33" s="6" t="s">
        <v>180</v>
      </c>
    </row>
  </sheetData>
  <mergeCells count="4">
    <mergeCell ref="A5:C5"/>
    <mergeCell ref="A10:C10"/>
    <mergeCell ref="A13:C13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22.0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15" hidden="false" customHeight="false" outlineLevel="0" collapsed="false">
      <c r="A4" s="11" t="s">
        <v>78</v>
      </c>
      <c r="B4" s="11" t="s">
        <v>183</v>
      </c>
      <c r="C4" s="11" t="s">
        <v>184</v>
      </c>
      <c r="D4" s="11" t="s">
        <v>81</v>
      </c>
      <c r="E4" s="11" t="s">
        <v>82</v>
      </c>
      <c r="F4" s="11" t="s">
        <v>185</v>
      </c>
      <c r="G4" s="11" t="s">
        <v>186</v>
      </c>
    </row>
    <row r="5" customFormat="false" ht="26.85" hidden="false" customHeight="false" outlineLevel="0" collapsed="false">
      <c r="A5" s="28" t="s">
        <v>146</v>
      </c>
      <c r="B5" s="25" t="s">
        <v>187</v>
      </c>
      <c r="C5" s="4" t="s">
        <v>188</v>
      </c>
      <c r="D5" s="14" t="n">
        <f aca="false">SUMIF(Workstreams!A:A,1,Workstreams!D:D)</f>
        <v>80</v>
      </c>
      <c r="E5" s="14" t="n">
        <f aca="false">SUMIF(Workstreams!A:A,1,Workstreams!E:E)</f>
        <v>22</v>
      </c>
      <c r="F5" s="17" t="n">
        <f aca="false">SUMIF(Workstreams!A:A,1,Workstreams!H:H)</f>
        <v>1339.8</v>
      </c>
      <c r="G5" s="6" t="s">
        <v>189</v>
      </c>
    </row>
    <row r="6" customFormat="false" ht="26.85" hidden="false" customHeight="false" outlineLevel="0" collapsed="false">
      <c r="A6" s="29" t="s">
        <v>147</v>
      </c>
      <c r="B6" s="25" t="s">
        <v>190</v>
      </c>
      <c r="C6" s="4" t="s">
        <v>191</v>
      </c>
      <c r="D6" s="14" t="n">
        <f aca="false">SUMIF(Workstreams!A:A,2,Workstreams!D:D)</f>
        <v>38</v>
      </c>
      <c r="E6" s="14" t="n">
        <f aca="false">SUMIF(Workstreams!A:A,2,Workstreams!E:E)</f>
        <v>14</v>
      </c>
      <c r="F6" s="17" t="n">
        <f aca="false">SUMIF(Workstreams!A:A,2,Workstreams!H:H)</f>
        <v>849.405</v>
      </c>
      <c r="G6" s="6" t="s">
        <v>192</v>
      </c>
    </row>
    <row r="7" customFormat="false" ht="26.85" hidden="false" customHeight="false" outlineLevel="0" collapsed="false">
      <c r="A7" s="30" t="s">
        <v>148</v>
      </c>
      <c r="B7" s="25" t="s">
        <v>193</v>
      </c>
      <c r="C7" s="4" t="s">
        <v>194</v>
      </c>
      <c r="D7" s="14" t="n">
        <f aca="false">SUMIF(Workstreams!A:A,3,Workstreams!D:D)</f>
        <v>66</v>
      </c>
      <c r="E7" s="14" t="n">
        <f aca="false">SUMIF(Workstreams!A:A,3,Workstreams!E:E)</f>
        <v>23</v>
      </c>
      <c r="F7" s="17" t="n">
        <f aca="false">SUMIF(Workstreams!A:A,3,Workstreams!H:H)</f>
        <v>1396.335</v>
      </c>
      <c r="G7" s="6" t="s">
        <v>195</v>
      </c>
    </row>
    <row r="8" customFormat="false" ht="26.85" hidden="false" customHeight="false" outlineLevel="0" collapsed="false">
      <c r="A8" s="31" t="s">
        <v>149</v>
      </c>
      <c r="B8" s="25" t="s">
        <v>196</v>
      </c>
      <c r="C8" s="4" t="s">
        <v>197</v>
      </c>
      <c r="D8" s="14" t="n">
        <f aca="false">SUMIF(Workstreams!A:A,4,Workstreams!D:D)</f>
        <v>50</v>
      </c>
      <c r="E8" s="14" t="n">
        <f aca="false">SUMIF(Workstreams!A:A,4,Workstreams!E:E)</f>
        <v>28</v>
      </c>
      <c r="F8" s="17" t="n">
        <f aca="false">SUMIF(Workstreams!A:A,4,Workstreams!H:H)</f>
        <v>1692.375</v>
      </c>
      <c r="G8" s="6" t="s">
        <v>198</v>
      </c>
    </row>
    <row r="9" customFormat="false" ht="15" hidden="false" customHeight="false" outlineLevel="0" collapsed="false">
      <c r="A9" s="11" t="s">
        <v>145</v>
      </c>
      <c r="B9" s="11" t="s">
        <v>199</v>
      </c>
      <c r="C9" s="11" t="s">
        <v>200</v>
      </c>
      <c r="D9" s="32" t="n">
        <f aca="false">SUM(D5:D8)</f>
        <v>234</v>
      </c>
      <c r="E9" s="32" t="n">
        <f aca="false">SUM(E5:E8)</f>
        <v>87</v>
      </c>
      <c r="F9" s="23" t="n">
        <f aca="false">SUM(F5:F8)</f>
        <v>5277.915</v>
      </c>
      <c r="G9" s="33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22.0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15" hidden="false" customHeight="false" outlineLevel="0" collapsed="false">
      <c r="A4" s="11"/>
      <c r="B4" s="11" t="s">
        <v>204</v>
      </c>
      <c r="C4" s="11" t="s">
        <v>86</v>
      </c>
    </row>
    <row r="5" customFormat="false" ht="15" hidden="false" customHeight="false" outlineLevel="0" collapsed="false">
      <c r="A5" s="34" t="s">
        <v>205</v>
      </c>
      <c r="B5" s="35"/>
      <c r="C5" s="35"/>
    </row>
    <row r="6" customFormat="false" ht="15" hidden="false" customHeight="false" outlineLevel="0" collapsed="false">
      <c r="A6" s="4" t="s">
        <v>206</v>
      </c>
      <c r="B6" s="14" t="n">
        <f aca="false">Workstreams!$D$33</f>
        <v>234</v>
      </c>
    </row>
    <row r="7" customFormat="false" ht="15" hidden="false" customHeight="false" outlineLevel="0" collapsed="false">
      <c r="A7" s="4" t="s">
        <v>207</v>
      </c>
      <c r="B7" s="16" t="n">
        <f aca="false">Workstreams!$F$33</f>
        <v>57.915</v>
      </c>
    </row>
    <row r="8" customFormat="false" ht="15" hidden="false" customHeight="false" outlineLevel="0" collapsed="false">
      <c r="A8" s="4" t="s">
        <v>208</v>
      </c>
      <c r="B8" s="16" t="n">
        <f aca="false">Workstreams!$G$33</f>
        <v>5220</v>
      </c>
    </row>
    <row r="9" customFormat="false" ht="15" hidden="false" customHeight="false" outlineLevel="0" collapsed="false">
      <c r="A9" s="25" t="s">
        <v>209</v>
      </c>
      <c r="B9" s="22" t="n">
        <f aca="false">Workstreams!$H$33</f>
        <v>5277.915</v>
      </c>
    </row>
    <row r="11" customFormat="false" ht="15" hidden="false" customHeight="false" outlineLevel="0" collapsed="false">
      <c r="A11" s="36" t="s">
        <v>210</v>
      </c>
      <c r="B11" s="37"/>
      <c r="C11" s="37"/>
    </row>
    <row r="12" customFormat="false" ht="15" hidden="false" customHeight="false" outlineLevel="0" collapsed="false">
      <c r="A12" s="4" t="s">
        <v>211</v>
      </c>
      <c r="B12" s="16" t="n">
        <f aca="false">Runtime!$B$32</f>
        <v>351.96446208</v>
      </c>
      <c r="C12" s="6" t="s">
        <v>212</v>
      </c>
    </row>
    <row r="13" customFormat="false" ht="15" hidden="false" customHeight="false" outlineLevel="0" collapsed="false">
      <c r="A13" s="4" t="s">
        <v>213</v>
      </c>
      <c r="B13" s="16" t="n">
        <f aca="false">3*Runtime!$B$32</f>
        <v>1055.89338624</v>
      </c>
    </row>
    <row r="14" customFormat="false" ht="15" hidden="false" customHeight="false" outlineLevel="0" collapsed="false">
      <c r="A14" s="25" t="s">
        <v>214</v>
      </c>
      <c r="B14" s="23" t="n">
        <f aca="false">Workstreams!$H$33+3*Runtime!$B$32</f>
        <v>6333.80838624</v>
      </c>
    </row>
    <row r="16" customFormat="false" ht="26.85" hidden="false" customHeight="false" outlineLevel="0" collapsed="false">
      <c r="A16" s="19" t="s">
        <v>215</v>
      </c>
      <c r="B16" s="38"/>
      <c r="C16" s="38"/>
    </row>
    <row r="17" customFormat="false" ht="15" hidden="false" customHeight="false" outlineLevel="0" collapsed="false">
      <c r="A17" s="4" t="s">
        <v>216</v>
      </c>
      <c r="B17" s="16" t="n">
        <f aca="false">Workstreams!$D$33*Assumptions!$B$6+Workstreams!$G$33*0.6</f>
        <v>10152</v>
      </c>
      <c r="C17" s="6" t="s">
        <v>217</v>
      </c>
    </row>
    <row r="18" customFormat="false" ht="15" hidden="false" customHeight="false" outlineLevel="0" collapsed="false">
      <c r="A18" s="4" t="s">
        <v>218</v>
      </c>
      <c r="B18" s="16" t="n">
        <f aca="false">SUMIF(Workstreams!A:A,3,Workstreams!D:D)*Assumptions!$B$7</f>
        <v>5940</v>
      </c>
      <c r="C18" s="6" t="s">
        <v>219</v>
      </c>
    </row>
    <row r="19" customFormat="false" ht="15" hidden="false" customHeight="false" outlineLevel="0" collapsed="false">
      <c r="A19" s="34" t="s">
        <v>220</v>
      </c>
      <c r="B19" s="39" t="n">
        <f aca="false">(Workstreams!$D$33*Assumptions!$B$6+Workstreams!$G$33*0.6)-Workstreams!$H$33</f>
        <v>4874.085</v>
      </c>
    </row>
    <row r="21" customFormat="false" ht="15" hidden="false" customHeight="false" outlineLevel="0" collapsed="false">
      <c r="A21" s="40" t="s">
        <v>221</v>
      </c>
      <c r="B21" s="41"/>
      <c r="C21" s="41"/>
    </row>
    <row r="22" customFormat="false" ht="15" hidden="false" customHeight="false" outlineLevel="0" collapsed="false">
      <c r="A22" s="4" t="s">
        <v>222</v>
      </c>
      <c r="B22" s="27" t="n">
        <f aca="false">Runtime!B16/Assumptions!$B$16</f>
        <v>10.24555776</v>
      </c>
      <c r="C22" s="6" t="s">
        <v>223</v>
      </c>
    </row>
    <row r="23" customFormat="false" ht="15" hidden="false" customHeight="false" outlineLevel="0" collapsed="false">
      <c r="A23" s="4" t="s">
        <v>224</v>
      </c>
      <c r="B23" s="27" t="n">
        <f aca="false">Runtime!$B$32/Assumptions!$B$16</f>
        <v>43.99555776</v>
      </c>
      <c r="C23" s="6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50"/>
  </cols>
  <sheetData>
    <row r="1" customFormat="false" ht="22.0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11" t="s">
        <v>228</v>
      </c>
      <c r="B4" s="11" t="s">
        <v>229</v>
      </c>
      <c r="C4" s="11" t="s">
        <v>230</v>
      </c>
    </row>
    <row r="5" customFormat="false" ht="26.85" hidden="false" customHeight="false" outlineLevel="0" collapsed="false">
      <c r="A5" s="25" t="s">
        <v>231</v>
      </c>
      <c r="B5" s="4" t="s">
        <v>232</v>
      </c>
      <c r="C5" s="6" t="s">
        <v>233</v>
      </c>
    </row>
    <row r="6" customFormat="false" ht="26.85" hidden="false" customHeight="false" outlineLevel="0" collapsed="false">
      <c r="A6" s="25" t="s">
        <v>234</v>
      </c>
      <c r="B6" s="4" t="s">
        <v>235</v>
      </c>
      <c r="C6" s="6" t="s">
        <v>236</v>
      </c>
    </row>
    <row r="7" customFormat="false" ht="26.85" hidden="false" customHeight="false" outlineLevel="0" collapsed="false">
      <c r="A7" s="25" t="s">
        <v>237</v>
      </c>
      <c r="B7" s="4" t="s">
        <v>238</v>
      </c>
      <c r="C7" s="6" t="s">
        <v>239</v>
      </c>
    </row>
    <row r="8" customFormat="false" ht="26.85" hidden="false" customHeight="false" outlineLevel="0" collapsed="false">
      <c r="A8" s="25" t="s">
        <v>240</v>
      </c>
      <c r="B8" s="4" t="s">
        <v>241</v>
      </c>
      <c r="C8" s="6" t="s">
        <v>242</v>
      </c>
    </row>
    <row r="9" customFormat="false" ht="26.85" hidden="false" customHeight="false" outlineLevel="0" collapsed="false">
      <c r="A9" s="25" t="s">
        <v>243</v>
      </c>
      <c r="B9" s="4" t="s">
        <v>244</v>
      </c>
      <c r="C9" s="6" t="s">
        <v>245</v>
      </c>
    </row>
    <row r="10" customFormat="false" ht="26.85" hidden="false" customHeight="false" outlineLevel="0" collapsed="false">
      <c r="A10" s="25" t="s">
        <v>246</v>
      </c>
      <c r="B10" s="4" t="s">
        <v>247</v>
      </c>
      <c r="C10" s="6" t="s">
        <v>248</v>
      </c>
    </row>
    <row r="11" customFormat="false" ht="26.85" hidden="false" customHeight="false" outlineLevel="0" collapsed="false">
      <c r="A11" s="25" t="s">
        <v>249</v>
      </c>
      <c r="B11" s="4" t="s">
        <v>250</v>
      </c>
      <c r="C11" s="6" t="s">
        <v>251</v>
      </c>
    </row>
    <row r="12" customFormat="false" ht="26.85" hidden="false" customHeight="false" outlineLevel="0" collapsed="false">
      <c r="A12" s="25" t="s">
        <v>252</v>
      </c>
      <c r="B12" s="4" t="s">
        <v>253</v>
      </c>
      <c r="C12" s="6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2026-06-05T00:55:40Z</dcterms:created>
  <dc:creator>openpyxl</dc:creator>
  <dc:description/>
  <dc:language>en-US</dc:language>
  <cp:lastModifiedBy/>
  <dcterms:modified xsi:type="dcterms:W3CDTF">2026-06-05T00:55:40Z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